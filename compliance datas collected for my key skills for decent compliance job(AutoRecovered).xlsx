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T 2nd year and final units\july 2026\"/>
    </mc:Choice>
  </mc:AlternateContent>
  <xr:revisionPtr revIDLastSave="0" documentId="13_ncr:1_{BA02C519-97E8-410E-9EA1-4BD907B12061}" xr6:coauthVersionLast="47" xr6:coauthVersionMax="47" xr10:uidLastSave="{00000000-0000-0000-0000-000000000000}"/>
  <bookViews>
    <workbookView xWindow="-108" yWindow="-108" windowWidth="23256" windowHeight="12456" activeTab="6" xr2:uid="{3861B4D2-EC95-4639-8AEB-AB29FF28984F}"/>
  </bookViews>
  <sheets>
    <sheet name="Plastic" sheetId="1" r:id="rId1"/>
    <sheet name="Food" sheetId="2" r:id="rId2"/>
    <sheet name="Furniture" sheetId="3" r:id="rId3"/>
    <sheet name="Wooden" sheetId="4" r:id="rId4"/>
    <sheet name="Clothes" sheetId="5" r:id="rId5"/>
    <sheet name="Groceries" sheetId="6" r:id="rId6"/>
    <sheet name="Dashboar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7" l="1"/>
  <c r="D16" i="7"/>
  <c r="E16" i="7"/>
  <c r="F16" i="7"/>
  <c r="G16" i="7"/>
  <c r="B16" i="7"/>
  <c r="C15" i="7"/>
  <c r="D15" i="7"/>
  <c r="E15" i="7"/>
  <c r="F15" i="7"/>
  <c r="G15" i="7"/>
  <c r="B15" i="7"/>
  <c r="C14" i="7"/>
  <c r="D14" i="7"/>
  <c r="E14" i="7"/>
  <c r="F14" i="7"/>
  <c r="G14" i="7"/>
  <c r="B14" i="7"/>
  <c r="G13" i="7"/>
  <c r="F13" i="7"/>
  <c r="E13" i="7"/>
  <c r="D13" i="7"/>
  <c r="C13" i="7"/>
  <c r="B13" i="7"/>
  <c r="B5" i="7"/>
  <c r="B6" i="7"/>
  <c r="B7" i="7"/>
  <c r="B10" i="7"/>
  <c r="B9" i="7"/>
  <c r="B8" i="7"/>
  <c r="A3" i="7"/>
  <c r="A1" i="7"/>
  <c r="G4" i="6" a="1"/>
  <c r="G4" i="6"/>
  <c r="G5" i="6" a="1"/>
  <c r="G5" i="6"/>
  <c r="G6" i="6" a="1"/>
  <c r="G6" i="6"/>
  <c r="G7" i="6" a="1"/>
  <c r="G7" i="6"/>
  <c r="G8" i="6" a="1"/>
  <c r="G8" i="6"/>
  <c r="G9" i="6" a="1"/>
  <c r="G9" i="6"/>
  <c r="G10" i="6" a="1"/>
  <c r="G10" i="6"/>
  <c r="G11" i="6" a="1"/>
  <c r="G11" i="6"/>
  <c r="G12" i="6" a="1"/>
  <c r="G12" i="6"/>
  <c r="G13" i="6" a="1"/>
  <c r="G13" i="6"/>
  <c r="G14" i="6" a="1"/>
  <c r="G14" i="6"/>
  <c r="G15" i="6" a="1"/>
  <c r="G15" i="6"/>
  <c r="G16" i="6" a="1"/>
  <c r="G16" i="6"/>
  <c r="G17" i="6" a="1"/>
  <c r="G17" i="6"/>
  <c r="G18" i="6" a="1"/>
  <c r="G18" i="6"/>
  <c r="G19" i="6" a="1"/>
  <c r="G19" i="6"/>
  <c r="G20" i="6" a="1"/>
  <c r="G20" i="6"/>
  <c r="G21" i="6" a="1"/>
  <c r="G21" i="6"/>
  <c r="G22" i="6" a="1"/>
  <c r="G22" i="6"/>
  <c r="G23" i="6" a="1"/>
  <c r="G23" i="6"/>
  <c r="G24" i="6" a="1"/>
  <c r="G24" i="6"/>
  <c r="G25" i="6" a="1"/>
  <c r="G25" i="6"/>
  <c r="G26" i="6" a="1"/>
  <c r="G26" i="6"/>
  <c r="G27" i="6" a="1"/>
  <c r="G27" i="6"/>
  <c r="G28" i="6" a="1"/>
  <c r="G28" i="6"/>
  <c r="G29" i="6" a="1"/>
  <c r="G29" i="6"/>
  <c r="G30" i="6" a="1"/>
  <c r="G30" i="6"/>
  <c r="G31" i="6" a="1"/>
  <c r="G31" i="6"/>
  <c r="G32" i="6" a="1"/>
  <c r="G32" i="6"/>
  <c r="G33" i="6" a="1"/>
  <c r="G33" i="6"/>
  <c r="G34" i="6" a="1"/>
  <c r="G34" i="6"/>
  <c r="G35" i="6" a="1"/>
  <c r="G35" i="6"/>
  <c r="G36" i="6" a="1"/>
  <c r="G36" i="6"/>
  <c r="G37" i="6" a="1"/>
  <c r="G37" i="6"/>
  <c r="G38" i="6" a="1"/>
  <c r="G38" i="6"/>
  <c r="F4" i="6" a="1"/>
  <c r="F4" i="6"/>
  <c r="F5" i="6" a="1"/>
  <c r="F5" i="6"/>
  <c r="F6" i="6" a="1"/>
  <c r="F6" i="6"/>
  <c r="F7" i="6" a="1"/>
  <c r="F7" i="6"/>
  <c r="F8" i="6" a="1"/>
  <c r="F8" i="6"/>
  <c r="F9" i="6" a="1"/>
  <c r="F9" i="6"/>
  <c r="F10" i="6" a="1"/>
  <c r="F10" i="6"/>
  <c r="F11" i="6" a="1"/>
  <c r="F11" i="6"/>
  <c r="F12" i="6" a="1"/>
  <c r="F12" i="6"/>
  <c r="F13" i="6" a="1"/>
  <c r="F13" i="6"/>
  <c r="F14" i="6" a="1"/>
  <c r="F14" i="6"/>
  <c r="F15" i="6" a="1"/>
  <c r="F15" i="6"/>
  <c r="F16" i="6" a="1"/>
  <c r="F16" i="6"/>
  <c r="F17" i="6" a="1"/>
  <c r="F17" i="6"/>
  <c r="F18" i="6" a="1"/>
  <c r="F18" i="6"/>
  <c r="F19" i="6" a="1"/>
  <c r="F19" i="6"/>
  <c r="F20" i="6" a="1"/>
  <c r="F20" i="6"/>
  <c r="F21" i="6" a="1"/>
  <c r="F21" i="6"/>
  <c r="F22" i="6" a="1"/>
  <c r="F22" i="6"/>
  <c r="F23" i="6" a="1"/>
  <c r="F23" i="6"/>
  <c r="F24" i="6" a="1"/>
  <c r="F24" i="6"/>
  <c r="F25" i="6" a="1"/>
  <c r="F25" i="6"/>
  <c r="F26" i="6" a="1"/>
  <c r="F26" i="6"/>
  <c r="F27" i="6" a="1"/>
  <c r="F27" i="6"/>
  <c r="F28" i="6" a="1"/>
  <c r="F28" i="6"/>
  <c r="F29" i="6" a="1"/>
  <c r="F29" i="6"/>
  <c r="F30" i="6" a="1"/>
  <c r="F30" i="6"/>
  <c r="F31" i="6" a="1"/>
  <c r="F31" i="6"/>
  <c r="F32" i="6" a="1"/>
  <c r="F32" i="6"/>
  <c r="F33" i="6" a="1"/>
  <c r="F33" i="6"/>
  <c r="F34" i="6" a="1"/>
  <c r="F34" i="6"/>
  <c r="F35" i="6" a="1"/>
  <c r="F35" i="6"/>
  <c r="F36" i="6" a="1"/>
  <c r="F36" i="6"/>
  <c r="F37" i="6" a="1"/>
  <c r="F37" i="6"/>
  <c r="F38" i="6" a="1"/>
  <c r="F38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/>
  <c r="E31" i="6" a="1"/>
  <c r="E31" i="6"/>
  <c r="E32" i="6" a="1"/>
  <c r="E32" i="6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D4" i="6" a="1"/>
  <c r="D4" i="6"/>
  <c r="D5" i="6" a="1"/>
  <c r="D5" i="6"/>
  <c r="D6" i="6" a="1"/>
  <c r="D6" i="6"/>
  <c r="D7" i="6" a="1"/>
  <c r="D7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15" i="6" a="1"/>
  <c r="D15" i="6"/>
  <c r="D16" i="6" a="1"/>
  <c r="D16" i="6"/>
  <c r="D17" i="6" a="1"/>
  <c r="D17" i="6"/>
  <c r="D18" i="6" a="1"/>
  <c r="D18" i="6"/>
  <c r="D19" i="6" a="1"/>
  <c r="D19" i="6"/>
  <c r="D20" i="6" a="1"/>
  <c r="D20" i="6"/>
  <c r="D21" i="6" a="1"/>
  <c r="D21" i="6"/>
  <c r="D22" i="6" a="1"/>
  <c r="D22" i="6"/>
  <c r="D23" i="6" a="1"/>
  <c r="D23" i="6"/>
  <c r="D24" i="6" a="1"/>
  <c r="D24" i="6"/>
  <c r="D25" i="6" a="1"/>
  <c r="D25" i="6"/>
  <c r="D26" i="6" a="1"/>
  <c r="D26" i="6"/>
  <c r="D27" i="6" a="1"/>
  <c r="D27" i="6"/>
  <c r="D28" i="6" a="1"/>
  <c r="D28" i="6"/>
  <c r="D29" i="6" a="1"/>
  <c r="D29" i="6"/>
  <c r="D30" i="6" a="1"/>
  <c r="D30" i="6"/>
  <c r="D31" i="6" a="1"/>
  <c r="D31" i="6"/>
  <c r="D32" i="6" a="1"/>
  <c r="D32" i="6"/>
  <c r="D33" i="6" a="1"/>
  <c r="D33" i="6"/>
  <c r="D34" i="6" a="1"/>
  <c r="D34" i="6"/>
  <c r="D35" i="6" a="1"/>
  <c r="D35" i="6"/>
  <c r="D36" i="6" a="1"/>
  <c r="D36" i="6"/>
  <c r="D37" i="6" a="1"/>
  <c r="D37" i="6"/>
  <c r="D38" i="6" a="1"/>
  <c r="D38" i="6"/>
  <c r="G3" i="6" a="1"/>
  <c r="G3" i="6" s="1"/>
  <c r="F3" i="6" a="1"/>
  <c r="F3" i="6" s="1"/>
  <c r="E3" i="6" a="1"/>
  <c r="E3" i="6"/>
  <c r="D3" i="6" a="1"/>
  <c r="D3" i="6" s="1"/>
  <c r="E4" i="5" a="1"/>
  <c r="E4" i="5"/>
  <c r="E5" i="5" a="1"/>
  <c r="E5" i="5"/>
  <c r="E6" i="5" a="1"/>
  <c r="E6" i="5"/>
  <c r="E7" i="5" a="1"/>
  <c r="E7" i="5"/>
  <c r="E8" i="5" a="1"/>
  <c r="E8" i="5"/>
  <c r="E9" i="5" a="1"/>
  <c r="E9" i="5"/>
  <c r="E10" i="5" a="1"/>
  <c r="E10" i="5"/>
  <c r="E11" i="5" a="1"/>
  <c r="E11" i="5"/>
  <c r="E12" i="5" a="1"/>
  <c r="E12" i="5"/>
  <c r="E13" i="5" a="1"/>
  <c r="E13" i="5"/>
  <c r="E14" i="5" a="1"/>
  <c r="E14" i="5"/>
  <c r="E15" i="5" a="1"/>
  <c r="E15" i="5"/>
  <c r="E16" i="5" a="1"/>
  <c r="E16" i="5"/>
  <c r="E17" i="5" a="1"/>
  <c r="E17" i="5"/>
  <c r="E18" i="5" a="1"/>
  <c r="E18" i="5"/>
  <c r="E19" i="5" a="1"/>
  <c r="E19" i="5"/>
  <c r="E20" i="5" a="1"/>
  <c r="E20" i="5"/>
  <c r="E21" i="5" a="1"/>
  <c r="E21" i="5"/>
  <c r="E22" i="5" a="1"/>
  <c r="E22" i="5"/>
  <c r="E23" i="5" a="1"/>
  <c r="E23" i="5"/>
  <c r="E24" i="5" a="1"/>
  <c r="E24" i="5"/>
  <c r="E25" i="5" a="1"/>
  <c r="E25" i="5"/>
  <c r="E26" i="5" a="1"/>
  <c r="E26" i="5"/>
  <c r="E27" i="5" a="1"/>
  <c r="E27" i="5"/>
  <c r="E28" i="5" a="1"/>
  <c r="E28" i="5"/>
  <c r="E29" i="5" a="1"/>
  <c r="E29" i="5"/>
  <c r="E30" i="5" a="1"/>
  <c r="E30" i="5"/>
  <c r="E31" i="5" a="1"/>
  <c r="E31" i="5"/>
  <c r="E32" i="5" a="1"/>
  <c r="E32" i="5"/>
  <c r="E33" i="5" a="1"/>
  <c r="E33" i="5"/>
  <c r="E34" i="5" a="1"/>
  <c r="E34" i="5"/>
  <c r="E35" i="5" a="1"/>
  <c r="E35" i="5"/>
  <c r="E36" i="5" a="1"/>
  <c r="E36" i="5"/>
  <c r="E37" i="5" a="1"/>
  <c r="E37" i="5"/>
  <c r="E38" i="5" a="1"/>
  <c r="E38" i="5"/>
  <c r="D4" i="5" a="1"/>
  <c r="D4" i="5"/>
  <c r="D5" i="5" a="1"/>
  <c r="D5" i="5"/>
  <c r="D6" i="5" a="1"/>
  <c r="D6" i="5"/>
  <c r="D7" i="5" a="1"/>
  <c r="D7" i="5"/>
  <c r="D8" i="5" a="1"/>
  <c r="D8" i="5"/>
  <c r="D9" i="5" a="1"/>
  <c r="D9" i="5"/>
  <c r="D10" i="5" a="1"/>
  <c r="D10" i="5"/>
  <c r="D11" i="5" a="1"/>
  <c r="D11" i="5"/>
  <c r="D12" i="5" a="1"/>
  <c r="D12" i="5"/>
  <c r="D13" i="5" a="1"/>
  <c r="D13" i="5"/>
  <c r="D14" i="5" a="1"/>
  <c r="D14" i="5"/>
  <c r="D15" i="5" a="1"/>
  <c r="D15" i="5"/>
  <c r="D16" i="5" a="1"/>
  <c r="D16" i="5"/>
  <c r="D17" i="5" a="1"/>
  <c r="D17" i="5"/>
  <c r="D18" i="5" a="1"/>
  <c r="D18" i="5"/>
  <c r="D19" i="5" a="1"/>
  <c r="D19" i="5"/>
  <c r="D20" i="5" a="1"/>
  <c r="D20" i="5"/>
  <c r="D21" i="5" a="1"/>
  <c r="D21" i="5"/>
  <c r="D22" i="5" a="1"/>
  <c r="D22" i="5"/>
  <c r="D23" i="5" a="1"/>
  <c r="D23" i="5"/>
  <c r="D24" i="5" a="1"/>
  <c r="D24" i="5"/>
  <c r="D25" i="5" a="1"/>
  <c r="D25" i="5"/>
  <c r="D26" i="5" a="1"/>
  <c r="D26" i="5"/>
  <c r="D27" i="5" a="1"/>
  <c r="D27" i="5"/>
  <c r="D28" i="5" a="1"/>
  <c r="D28" i="5"/>
  <c r="D29" i="5" a="1"/>
  <c r="D29" i="5"/>
  <c r="D30" i="5" a="1"/>
  <c r="D30" i="5"/>
  <c r="D31" i="5" a="1"/>
  <c r="D31" i="5"/>
  <c r="D32" i="5" a="1"/>
  <c r="D32" i="5"/>
  <c r="D33" i="5" a="1"/>
  <c r="D33" i="5"/>
  <c r="D34" i="5" a="1"/>
  <c r="D34" i="5"/>
  <c r="D35" i="5" a="1"/>
  <c r="D35" i="5"/>
  <c r="D36" i="5" a="1"/>
  <c r="D36" i="5"/>
  <c r="D37" i="5" a="1"/>
  <c r="D37" i="5"/>
  <c r="D38" i="5" a="1"/>
  <c r="D38" i="5"/>
  <c r="G4" i="5" a="1"/>
  <c r="G4" i="5"/>
  <c r="G5" i="5" a="1"/>
  <c r="G5" i="5"/>
  <c r="G6" i="5" a="1"/>
  <c r="G6" i="5"/>
  <c r="G7" i="5" a="1"/>
  <c r="G7" i="5"/>
  <c r="G8" i="5" a="1"/>
  <c r="G8" i="5"/>
  <c r="G9" i="5" a="1"/>
  <c r="G9" i="5"/>
  <c r="G10" i="5" a="1"/>
  <c r="G10" i="5"/>
  <c r="G11" i="5" a="1"/>
  <c r="G11" i="5"/>
  <c r="G12" i="5" a="1"/>
  <c r="G12" i="5"/>
  <c r="G13" i="5" a="1"/>
  <c r="G13" i="5"/>
  <c r="G14" i="5" a="1"/>
  <c r="G14" i="5"/>
  <c r="G15" i="5" a="1"/>
  <c r="G15" i="5"/>
  <c r="G16" i="5" a="1"/>
  <c r="G16" i="5"/>
  <c r="G17" i="5" a="1"/>
  <c r="G17" i="5"/>
  <c r="G18" i="5" a="1"/>
  <c r="G18" i="5"/>
  <c r="G19" i="5" a="1"/>
  <c r="G19" i="5"/>
  <c r="G20" i="5" a="1"/>
  <c r="G20" i="5"/>
  <c r="G21" i="5" a="1"/>
  <c r="G21" i="5"/>
  <c r="G22" i="5" a="1"/>
  <c r="G22" i="5"/>
  <c r="G23" i="5" a="1"/>
  <c r="G23" i="5"/>
  <c r="G24" i="5" a="1"/>
  <c r="G24" i="5"/>
  <c r="G25" i="5" a="1"/>
  <c r="G25" i="5"/>
  <c r="G26" i="5" a="1"/>
  <c r="G26" i="5"/>
  <c r="G27" i="5" a="1"/>
  <c r="G27" i="5"/>
  <c r="G28" i="5" a="1"/>
  <c r="G28" i="5"/>
  <c r="G29" i="5" a="1"/>
  <c r="G29" i="5"/>
  <c r="G30" i="5" a="1"/>
  <c r="G30" i="5"/>
  <c r="G31" i="5" a="1"/>
  <c r="G31" i="5"/>
  <c r="G32" i="5" a="1"/>
  <c r="G32" i="5"/>
  <c r="G33" i="5" a="1"/>
  <c r="G33" i="5"/>
  <c r="G34" i="5" a="1"/>
  <c r="G34" i="5"/>
  <c r="G35" i="5" a="1"/>
  <c r="G35" i="5"/>
  <c r="G36" i="5" a="1"/>
  <c r="G36" i="5"/>
  <c r="G37" i="5" a="1"/>
  <c r="G37" i="5"/>
  <c r="G38" i="5" a="1"/>
  <c r="G38" i="5"/>
  <c r="F4" i="5" a="1"/>
  <c r="F4" i="5"/>
  <c r="F5" i="5" a="1"/>
  <c r="F5" i="5"/>
  <c r="F6" i="5" a="1"/>
  <c r="F6" i="5"/>
  <c r="F7" i="5" a="1"/>
  <c r="F7" i="5"/>
  <c r="F8" i="5" a="1"/>
  <c r="F8" i="5"/>
  <c r="F9" i="5" a="1"/>
  <c r="F9" i="5"/>
  <c r="F10" i="5" a="1"/>
  <c r="F10" i="5"/>
  <c r="F11" i="5" a="1"/>
  <c r="F11" i="5"/>
  <c r="F12" i="5" a="1"/>
  <c r="F12" i="5"/>
  <c r="F13" i="5" a="1"/>
  <c r="F13" i="5"/>
  <c r="F14" i="5" a="1"/>
  <c r="F14" i="5"/>
  <c r="F15" i="5" a="1"/>
  <c r="F15" i="5"/>
  <c r="F16" i="5" a="1"/>
  <c r="F16" i="5"/>
  <c r="F17" i="5" a="1"/>
  <c r="F17" i="5"/>
  <c r="F18" i="5" a="1"/>
  <c r="F18" i="5"/>
  <c r="F19" i="5" a="1"/>
  <c r="F19" i="5"/>
  <c r="F20" i="5" a="1"/>
  <c r="F20" i="5"/>
  <c r="F21" i="5" a="1"/>
  <c r="F21" i="5"/>
  <c r="F22" i="5" a="1"/>
  <c r="F22" i="5"/>
  <c r="F23" i="5" a="1"/>
  <c r="F23" i="5"/>
  <c r="F24" i="5" a="1"/>
  <c r="F24" i="5"/>
  <c r="F25" i="5" a="1"/>
  <c r="F25" i="5"/>
  <c r="F26" i="5" a="1"/>
  <c r="F26" i="5"/>
  <c r="F27" i="5" a="1"/>
  <c r="F27" i="5"/>
  <c r="F28" i="5" a="1"/>
  <c r="F28" i="5"/>
  <c r="F29" i="5" a="1"/>
  <c r="F29" i="5"/>
  <c r="F30" i="5" a="1"/>
  <c r="F30" i="5"/>
  <c r="F31" i="5" a="1"/>
  <c r="F31" i="5"/>
  <c r="F32" i="5" a="1"/>
  <c r="F32" i="5"/>
  <c r="F33" i="5" a="1"/>
  <c r="F33" i="5"/>
  <c r="F34" i="5" a="1"/>
  <c r="F34" i="5"/>
  <c r="F35" i="5" a="1"/>
  <c r="F35" i="5"/>
  <c r="F36" i="5" a="1"/>
  <c r="F36" i="5"/>
  <c r="F37" i="5" a="1"/>
  <c r="F37" i="5"/>
  <c r="F38" i="5" a="1"/>
  <c r="F38" i="5"/>
  <c r="G3" i="5" a="1"/>
  <c r="G3" i="5" s="1"/>
  <c r="F3" i="5" a="1"/>
  <c r="F3" i="5" s="1"/>
  <c r="E3" i="5" a="1"/>
  <c r="E3" i="5"/>
  <c r="D3" i="5" a="1"/>
  <c r="D3" i="5" s="1"/>
  <c r="D4" i="4" a="1"/>
  <c r="D4" i="4"/>
  <c r="D5" i="4" a="1"/>
  <c r="D5" i="4"/>
  <c r="D6" i="4" a="1"/>
  <c r="D6" i="4"/>
  <c r="D7" i="4" a="1"/>
  <c r="D7" i="4"/>
  <c r="D8" i="4" a="1"/>
  <c r="D8" i="4"/>
  <c r="D9" i="4" a="1"/>
  <c r="D9" i="4"/>
  <c r="D10" i="4" a="1"/>
  <c r="D10" i="4"/>
  <c r="D11" i="4" a="1"/>
  <c r="D11" i="4"/>
  <c r="D12" i="4" a="1"/>
  <c r="D12" i="4"/>
  <c r="D13" i="4" a="1"/>
  <c r="D13" i="4"/>
  <c r="D14" i="4" a="1"/>
  <c r="D14" i="4"/>
  <c r="D15" i="4" a="1"/>
  <c r="D15" i="4"/>
  <c r="D16" i="4" a="1"/>
  <c r="D16" i="4"/>
  <c r="D17" i="4" a="1"/>
  <c r="D17" i="4"/>
  <c r="D18" i="4" a="1"/>
  <c r="D18" i="4"/>
  <c r="D19" i="4" a="1"/>
  <c r="D19" i="4"/>
  <c r="D20" i="4" a="1"/>
  <c r="D20" i="4"/>
  <c r="D21" i="4" a="1"/>
  <c r="D21" i="4"/>
  <c r="D22" i="4" a="1"/>
  <c r="D22" i="4"/>
  <c r="D23" i="4" a="1"/>
  <c r="D23" i="4"/>
  <c r="D24" i="4" a="1"/>
  <c r="D24" i="4"/>
  <c r="D25" i="4" a="1"/>
  <c r="D25" i="4"/>
  <c r="D26" i="4" a="1"/>
  <c r="D26" i="4"/>
  <c r="D27" i="4" a="1"/>
  <c r="D27" i="4"/>
  <c r="D28" i="4" a="1"/>
  <c r="D28" i="4"/>
  <c r="D29" i="4" a="1"/>
  <c r="D29" i="4"/>
  <c r="D30" i="4" a="1"/>
  <c r="D30" i="4"/>
  <c r="D31" i="4" a="1"/>
  <c r="D31" i="4"/>
  <c r="D32" i="4" a="1"/>
  <c r="D32" i="4"/>
  <c r="D33" i="4" a="1"/>
  <c r="D33" i="4"/>
  <c r="D34" i="4" a="1"/>
  <c r="D34" i="4"/>
  <c r="D35" i="4" a="1"/>
  <c r="D35" i="4"/>
  <c r="D36" i="4" a="1"/>
  <c r="D36" i="4"/>
  <c r="D37" i="4" a="1"/>
  <c r="D37" i="4"/>
  <c r="D38" i="4" a="1"/>
  <c r="D38" i="4"/>
  <c r="E4" i="4" a="1"/>
  <c r="E4" i="4"/>
  <c r="E5" i="4" a="1"/>
  <c r="E5" i="4"/>
  <c r="E6" i="4" a="1"/>
  <c r="E6" i="4"/>
  <c r="E7" i="4" a="1"/>
  <c r="E7" i="4"/>
  <c r="E8" i="4" a="1"/>
  <c r="E8" i="4"/>
  <c r="E9" i="4" a="1"/>
  <c r="E9" i="4"/>
  <c r="E10" i="4" a="1"/>
  <c r="E10" i="4"/>
  <c r="E11" i="4" a="1"/>
  <c r="E11" i="4"/>
  <c r="E12" i="4" a="1"/>
  <c r="E12" i="4"/>
  <c r="E13" i="4" a="1"/>
  <c r="E13" i="4"/>
  <c r="E14" i="4" a="1"/>
  <c r="E14" i="4"/>
  <c r="E15" i="4" a="1"/>
  <c r="E15" i="4"/>
  <c r="E16" i="4" a="1"/>
  <c r="E16" i="4"/>
  <c r="E17" i="4" a="1"/>
  <c r="E17" i="4"/>
  <c r="E18" i="4" a="1"/>
  <c r="E18" i="4"/>
  <c r="E19" i="4" a="1"/>
  <c r="E19" i="4"/>
  <c r="E20" i="4" a="1"/>
  <c r="E20" i="4"/>
  <c r="E21" i="4" a="1"/>
  <c r="E21" i="4"/>
  <c r="E22" i="4" a="1"/>
  <c r="E22" i="4"/>
  <c r="E23" i="4" a="1"/>
  <c r="E23" i="4"/>
  <c r="E24" i="4" a="1"/>
  <c r="E24" i="4"/>
  <c r="E25" i="4" a="1"/>
  <c r="E25" i="4"/>
  <c r="E26" i="4" a="1"/>
  <c r="E26" i="4"/>
  <c r="E27" i="4" a="1"/>
  <c r="E27" i="4"/>
  <c r="E28" i="4" a="1"/>
  <c r="E28" i="4"/>
  <c r="E29" i="4" a="1"/>
  <c r="E29" i="4"/>
  <c r="E30" i="4" a="1"/>
  <c r="E30" i="4"/>
  <c r="E31" i="4" a="1"/>
  <c r="E31" i="4"/>
  <c r="E32" i="4" a="1"/>
  <c r="E32" i="4"/>
  <c r="E33" i="4" a="1"/>
  <c r="E33" i="4"/>
  <c r="E34" i="4" a="1"/>
  <c r="E34" i="4"/>
  <c r="E35" i="4" a="1"/>
  <c r="E35" i="4"/>
  <c r="E36" i="4" a="1"/>
  <c r="E36" i="4"/>
  <c r="E37" i="4" a="1"/>
  <c r="E37" i="4"/>
  <c r="E38" i="4" a="1"/>
  <c r="E38" i="4"/>
  <c r="F4" i="4" a="1"/>
  <c r="F4" i="4"/>
  <c r="F5" i="4" a="1"/>
  <c r="F5" i="4"/>
  <c r="F6" i="4" a="1"/>
  <c r="F6" i="4"/>
  <c r="F7" i="4" a="1"/>
  <c r="F7" i="4"/>
  <c r="F8" i="4" a="1"/>
  <c r="F8" i="4"/>
  <c r="F9" i="4" a="1"/>
  <c r="F9" i="4"/>
  <c r="F10" i="4" a="1"/>
  <c r="F10" i="4"/>
  <c r="F11" i="4" a="1"/>
  <c r="F11" i="4"/>
  <c r="F12" i="4" a="1"/>
  <c r="F12" i="4"/>
  <c r="F13" i="4" a="1"/>
  <c r="F13" i="4"/>
  <c r="F14" i="4" a="1"/>
  <c r="F14" i="4"/>
  <c r="F15" i="4" a="1"/>
  <c r="F15" i="4"/>
  <c r="F16" i="4" a="1"/>
  <c r="F16" i="4"/>
  <c r="F17" i="4" a="1"/>
  <c r="F17" i="4"/>
  <c r="F18" i="4" a="1"/>
  <c r="F18" i="4"/>
  <c r="F19" i="4" a="1"/>
  <c r="F19" i="4"/>
  <c r="F20" i="4" a="1"/>
  <c r="F20" i="4"/>
  <c r="F21" i="4" a="1"/>
  <c r="F21" i="4"/>
  <c r="F22" i="4" a="1"/>
  <c r="F22" i="4"/>
  <c r="F23" i="4" a="1"/>
  <c r="F23" i="4"/>
  <c r="F24" i="4" a="1"/>
  <c r="F24" i="4"/>
  <c r="F25" i="4" a="1"/>
  <c r="F25" i="4"/>
  <c r="F26" i="4" a="1"/>
  <c r="F26" i="4"/>
  <c r="F27" i="4" a="1"/>
  <c r="F27" i="4"/>
  <c r="F28" i="4" a="1"/>
  <c r="F28" i="4"/>
  <c r="F29" i="4" a="1"/>
  <c r="F29" i="4"/>
  <c r="F30" i="4" a="1"/>
  <c r="F30" i="4"/>
  <c r="F31" i="4" a="1"/>
  <c r="F31" i="4"/>
  <c r="F32" i="4" a="1"/>
  <c r="F32" i="4"/>
  <c r="F33" i="4" a="1"/>
  <c r="F33" i="4"/>
  <c r="F34" i="4" a="1"/>
  <c r="F34" i="4"/>
  <c r="F35" i="4" a="1"/>
  <c r="F35" i="4"/>
  <c r="F36" i="4" a="1"/>
  <c r="F36" i="4"/>
  <c r="F37" i="4" a="1"/>
  <c r="F37" i="4"/>
  <c r="F38" i="4" a="1"/>
  <c r="F38" i="4"/>
  <c r="G4" i="4" a="1"/>
  <c r="G4" i="4"/>
  <c r="G5" i="4" a="1"/>
  <c r="G5" i="4"/>
  <c r="G6" i="4" a="1"/>
  <c r="G6" i="4"/>
  <c r="G7" i="4" a="1"/>
  <c r="G7" i="4"/>
  <c r="G8" i="4" a="1"/>
  <c r="G8" i="4"/>
  <c r="G9" i="4" a="1"/>
  <c r="G9" i="4"/>
  <c r="G10" i="4" a="1"/>
  <c r="G10" i="4"/>
  <c r="G11" i="4" a="1"/>
  <c r="G11" i="4"/>
  <c r="G12" i="4" a="1"/>
  <c r="G12" i="4"/>
  <c r="G13" i="4" a="1"/>
  <c r="G13" i="4"/>
  <c r="G14" i="4" a="1"/>
  <c r="G14" i="4"/>
  <c r="G15" i="4" a="1"/>
  <c r="G15" i="4"/>
  <c r="G16" i="4" a="1"/>
  <c r="G16" i="4"/>
  <c r="G17" i="4" a="1"/>
  <c r="G17" i="4"/>
  <c r="G18" i="4" a="1"/>
  <c r="G18" i="4"/>
  <c r="G19" i="4" a="1"/>
  <c r="G19" i="4"/>
  <c r="G20" i="4" a="1"/>
  <c r="G20" i="4"/>
  <c r="G21" i="4" a="1"/>
  <c r="G21" i="4"/>
  <c r="G22" i="4" a="1"/>
  <c r="G22" i="4"/>
  <c r="G23" i="4" a="1"/>
  <c r="G23" i="4"/>
  <c r="G24" i="4" a="1"/>
  <c r="G24" i="4"/>
  <c r="G25" i="4" a="1"/>
  <c r="G25" i="4"/>
  <c r="G26" i="4" a="1"/>
  <c r="G26" i="4"/>
  <c r="G27" i="4" a="1"/>
  <c r="G27" i="4"/>
  <c r="G28" i="4" a="1"/>
  <c r="G28" i="4"/>
  <c r="G29" i="4" a="1"/>
  <c r="G29" i="4"/>
  <c r="G30" i="4" a="1"/>
  <c r="G30" i="4"/>
  <c r="G31" i="4" a="1"/>
  <c r="G31" i="4"/>
  <c r="G32" i="4" a="1"/>
  <c r="G32" i="4"/>
  <c r="G33" i="4" a="1"/>
  <c r="G33" i="4"/>
  <c r="G34" i="4" a="1"/>
  <c r="G34" i="4"/>
  <c r="G35" i="4" a="1"/>
  <c r="G35" i="4"/>
  <c r="G36" i="4" a="1"/>
  <c r="G36" i="4"/>
  <c r="G37" i="4" a="1"/>
  <c r="G37" i="4"/>
  <c r="G38" i="4" a="1"/>
  <c r="G38" i="4"/>
  <c r="G3" i="4" a="1"/>
  <c r="G3" i="4"/>
  <c r="F3" i="4" a="1"/>
  <c r="F3" i="4" s="1"/>
  <c r="E3" i="4" a="1"/>
  <c r="E3" i="4" s="1"/>
  <c r="D3" i="4" a="1"/>
  <c r="D3" i="4" s="1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2" i="3" a="1"/>
  <c r="G22" i="3"/>
  <c r="G23" i="3" a="1"/>
  <c r="G23" i="3"/>
  <c r="G24" i="3" a="1"/>
  <c r="G24" i="3"/>
  <c r="G25" i="3" a="1"/>
  <c r="G25" i="3"/>
  <c r="G26" i="3" a="1"/>
  <c r="G26" i="3"/>
  <c r="G27" i="3" a="1"/>
  <c r="G27" i="3"/>
  <c r="G28" i="3" a="1"/>
  <c r="G28" i="3"/>
  <c r="G29" i="3" a="1"/>
  <c r="G29" i="3"/>
  <c r="G30" i="3" a="1"/>
  <c r="G30" i="3"/>
  <c r="G31" i="3" a="1"/>
  <c r="G31" i="3"/>
  <c r="G32" i="3" a="1"/>
  <c r="G32" i="3"/>
  <c r="G33" i="3" a="1"/>
  <c r="G33" i="3"/>
  <c r="G34" i="3" a="1"/>
  <c r="G34" i="3"/>
  <c r="G35" i="3" a="1"/>
  <c r="G35" i="3"/>
  <c r="G36" i="3" a="1"/>
  <c r="G36" i="3"/>
  <c r="G37" i="3" a="1"/>
  <c r="G37" i="3"/>
  <c r="G38" i="3" a="1"/>
  <c r="G38" i="3"/>
  <c r="F4" i="3" a="1"/>
  <c r="F4" i="3"/>
  <c r="F5" i="3" a="1"/>
  <c r="F5" i="3"/>
  <c r="F6" i="3" a="1"/>
  <c r="F6" i="3"/>
  <c r="F7" i="3" a="1"/>
  <c r="F7" i="3"/>
  <c r="F8" i="3" a="1"/>
  <c r="F8" i="3"/>
  <c r="F9" i="3" a="1"/>
  <c r="F9" i="3"/>
  <c r="F10" i="3" a="1"/>
  <c r="F10" i="3"/>
  <c r="F11" i="3" a="1"/>
  <c r="F11" i="3"/>
  <c r="F12" i="3" a="1"/>
  <c r="F12" i="3"/>
  <c r="F13" i="3" a="1"/>
  <c r="F13" i="3"/>
  <c r="F14" i="3" a="1"/>
  <c r="F14" i="3"/>
  <c r="F15" i="3" a="1"/>
  <c r="F15" i="3"/>
  <c r="F16" i="3" a="1"/>
  <c r="F16" i="3"/>
  <c r="F17" i="3" a="1"/>
  <c r="F17" i="3"/>
  <c r="F18" i="3" a="1"/>
  <c r="F18" i="3"/>
  <c r="F19" i="3" a="1"/>
  <c r="F19" i="3"/>
  <c r="F20" i="3" a="1"/>
  <c r="F20" i="3"/>
  <c r="F21" i="3" a="1"/>
  <c r="F21" i="3"/>
  <c r="F22" i="3" a="1"/>
  <c r="F22" i="3"/>
  <c r="F23" i="3" a="1"/>
  <c r="F23" i="3"/>
  <c r="F24" i="3" a="1"/>
  <c r="F24" i="3"/>
  <c r="F25" i="3" a="1"/>
  <c r="F25" i="3"/>
  <c r="F26" i="3" a="1"/>
  <c r="F26" i="3"/>
  <c r="F27" i="3" a="1"/>
  <c r="F27" i="3"/>
  <c r="F28" i="3" a="1"/>
  <c r="F28" i="3"/>
  <c r="F29" i="3" a="1"/>
  <c r="F29" i="3"/>
  <c r="F30" i="3" a="1"/>
  <c r="F30" i="3"/>
  <c r="F31" i="3" a="1"/>
  <c r="F31" i="3"/>
  <c r="F32" i="3" a="1"/>
  <c r="F32" i="3"/>
  <c r="F33" i="3" a="1"/>
  <c r="F33" i="3"/>
  <c r="F34" i="3" a="1"/>
  <c r="F34" i="3"/>
  <c r="F35" i="3" a="1"/>
  <c r="F35" i="3"/>
  <c r="F36" i="3" a="1"/>
  <c r="F36" i="3"/>
  <c r="F37" i="3" a="1"/>
  <c r="F37" i="3"/>
  <c r="F38" i="3" a="1"/>
  <c r="F38" i="3"/>
  <c r="E4" i="3" a="1"/>
  <c r="E4" i="3"/>
  <c r="E5" i="3" a="1"/>
  <c r="E5" i="3"/>
  <c r="E6" i="3" a="1"/>
  <c r="E6" i="3"/>
  <c r="E7" i="3" a="1"/>
  <c r="E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38" i="3" a="1"/>
  <c r="E38" i="3"/>
  <c r="D4" i="3" a="1"/>
  <c r="D4" i="3"/>
  <c r="D5" i="3" a="1"/>
  <c r="D5" i="3"/>
  <c r="D6" i="3" a="1"/>
  <c r="D6" i="3"/>
  <c r="D7" i="3" a="1"/>
  <c r="D7" i="3"/>
  <c r="D8" i="3" a="1"/>
  <c r="D8" i="3"/>
  <c r="D9" i="3" a="1"/>
  <c r="D9" i="3"/>
  <c r="D10" i="3" a="1"/>
  <c r="D10" i="3"/>
  <c r="D11" i="3" a="1"/>
  <c r="D11" i="3"/>
  <c r="D12" i="3" a="1"/>
  <c r="D12" i="3"/>
  <c r="D13" i="3" a="1"/>
  <c r="D13" i="3"/>
  <c r="D14" i="3" a="1"/>
  <c r="D14" i="3"/>
  <c r="D15" i="3" a="1"/>
  <c r="D15" i="3"/>
  <c r="D16" i="3" a="1"/>
  <c r="D16" i="3"/>
  <c r="D17" i="3" a="1"/>
  <c r="D17" i="3"/>
  <c r="D18" i="3" a="1"/>
  <c r="D18" i="3"/>
  <c r="D19" i="3" a="1"/>
  <c r="D19" i="3"/>
  <c r="D20" i="3" a="1"/>
  <c r="D20" i="3"/>
  <c r="D21" i="3" a="1"/>
  <c r="D21" i="3"/>
  <c r="D22" i="3" a="1"/>
  <c r="D22" i="3"/>
  <c r="D23" i="3" a="1"/>
  <c r="D23" i="3"/>
  <c r="D24" i="3" a="1"/>
  <c r="D24" i="3"/>
  <c r="D25" i="3" a="1"/>
  <c r="D25" i="3"/>
  <c r="D26" i="3" a="1"/>
  <c r="D26" i="3"/>
  <c r="D27" i="3" a="1"/>
  <c r="D27" i="3"/>
  <c r="D28" i="3" a="1"/>
  <c r="D28" i="3"/>
  <c r="D29" i="3" a="1"/>
  <c r="D29" i="3"/>
  <c r="D30" i="3" a="1"/>
  <c r="D30" i="3"/>
  <c r="D31" i="3" a="1"/>
  <c r="D31" i="3"/>
  <c r="D32" i="3" a="1"/>
  <c r="D32" i="3"/>
  <c r="D33" i="3" a="1"/>
  <c r="D33" i="3"/>
  <c r="D34" i="3" a="1"/>
  <c r="D34" i="3"/>
  <c r="D35" i="3" a="1"/>
  <c r="D35" i="3"/>
  <c r="D36" i="3" a="1"/>
  <c r="D36" i="3"/>
  <c r="D37" i="3" a="1"/>
  <c r="D37" i="3"/>
  <c r="D38" i="3" a="1"/>
  <c r="D38" i="3"/>
  <c r="G3" i="3" a="1"/>
  <c r="G3" i="3" s="1"/>
  <c r="F3" i="3" a="1"/>
  <c r="F3" i="3" s="1"/>
  <c r="E3" i="3" a="1"/>
  <c r="E3" i="3" s="1"/>
  <c r="D3" i="3" a="1"/>
  <c r="D3" i="3" s="1"/>
  <c r="G4" i="2" a="1"/>
  <c r="G4" i="2"/>
  <c r="G5" i="2" a="1"/>
  <c r="G5" i="2"/>
  <c r="G6" i="2" a="1"/>
  <c r="G6" i="2"/>
  <c r="G7" i="2" a="1"/>
  <c r="G7" i="2"/>
  <c r="G8" i="2" a="1"/>
  <c r="G8" i="2"/>
  <c r="G9" i="2" a="1"/>
  <c r="G9" i="2"/>
  <c r="G10" i="2" a="1"/>
  <c r="G10" i="2"/>
  <c r="G11" i="2" a="1"/>
  <c r="G11" i="2"/>
  <c r="G12" i="2" a="1"/>
  <c r="G12" i="2"/>
  <c r="G13" i="2" a="1"/>
  <c r="G13" i="2"/>
  <c r="G14" i="2" a="1"/>
  <c r="G14" i="2"/>
  <c r="G15" i="2" a="1"/>
  <c r="G15" i="2"/>
  <c r="G16" i="2" a="1"/>
  <c r="G16" i="2"/>
  <c r="G17" i="2" a="1"/>
  <c r="G17" i="2"/>
  <c r="G18" i="2" a="1"/>
  <c r="G18" i="2"/>
  <c r="G19" i="2" a="1"/>
  <c r="G19" i="2"/>
  <c r="G20" i="2" a="1"/>
  <c r="G20" i="2"/>
  <c r="G21" i="2" a="1"/>
  <c r="G21" i="2"/>
  <c r="G22" i="2" a="1"/>
  <c r="G22" i="2"/>
  <c r="G23" i="2" a="1"/>
  <c r="G23" i="2"/>
  <c r="G24" i="2" a="1"/>
  <c r="G24" i="2"/>
  <c r="G25" i="2" a="1"/>
  <c r="G25" i="2"/>
  <c r="G26" i="2" a="1"/>
  <c r="G26" i="2"/>
  <c r="G27" i="2" a="1"/>
  <c r="G27" i="2"/>
  <c r="G28" i="2" a="1"/>
  <c r="G28" i="2"/>
  <c r="G29" i="2" a="1"/>
  <c r="G29" i="2"/>
  <c r="G30" i="2" a="1"/>
  <c r="G30" i="2"/>
  <c r="G31" i="2" a="1"/>
  <c r="G31" i="2"/>
  <c r="G32" i="2" a="1"/>
  <c r="G32" i="2"/>
  <c r="G33" i="2" a="1"/>
  <c r="G33" i="2"/>
  <c r="G34" i="2" a="1"/>
  <c r="G34" i="2"/>
  <c r="G35" i="2" a="1"/>
  <c r="G35" i="2"/>
  <c r="G36" i="2" a="1"/>
  <c r="G36" i="2"/>
  <c r="G37" i="2" a="1"/>
  <c r="G37" i="2"/>
  <c r="G38" i="2" a="1"/>
  <c r="G38" i="2"/>
  <c r="G3" i="2" a="1"/>
  <c r="G3" i="2" s="1"/>
  <c r="F4" i="2" a="1"/>
  <c r="F4" i="2"/>
  <c r="F5" i="2" a="1"/>
  <c r="F5" i="2"/>
  <c r="F6" i="2" a="1"/>
  <c r="F6" i="2"/>
  <c r="F7" i="2" a="1"/>
  <c r="F7" i="2"/>
  <c r="F8" i="2" a="1"/>
  <c r="F8" i="2"/>
  <c r="F9" i="2" a="1"/>
  <c r="F9" i="2"/>
  <c r="F10" i="2" a="1"/>
  <c r="F10" i="2"/>
  <c r="F11" i="2" a="1"/>
  <c r="F11" i="2"/>
  <c r="F12" i="2" a="1"/>
  <c r="F12" i="2"/>
  <c r="F13" i="2" a="1"/>
  <c r="F13" i="2"/>
  <c r="F14" i="2" a="1"/>
  <c r="F14" i="2"/>
  <c r="F15" i="2" a="1"/>
  <c r="F15" i="2"/>
  <c r="F16" i="2" a="1"/>
  <c r="F16" i="2"/>
  <c r="F17" i="2" a="1"/>
  <c r="F17" i="2"/>
  <c r="F18" i="2" a="1"/>
  <c r="F18" i="2"/>
  <c r="F19" i="2" a="1"/>
  <c r="F19" i="2"/>
  <c r="F20" i="2" a="1"/>
  <c r="F20" i="2"/>
  <c r="F21" i="2" a="1"/>
  <c r="F21" i="2"/>
  <c r="F22" i="2" a="1"/>
  <c r="F22" i="2"/>
  <c r="F23" i="2" a="1"/>
  <c r="F23" i="2"/>
  <c r="F24" i="2" a="1"/>
  <c r="F24" i="2"/>
  <c r="F25" i="2" a="1"/>
  <c r="F25" i="2"/>
  <c r="F26" i="2" a="1"/>
  <c r="F26" i="2"/>
  <c r="F27" i="2" a="1"/>
  <c r="F27" i="2"/>
  <c r="F28" i="2" a="1"/>
  <c r="F28" i="2"/>
  <c r="F29" i="2" a="1"/>
  <c r="F29" i="2"/>
  <c r="F30" i="2" a="1"/>
  <c r="F30" i="2"/>
  <c r="F31" i="2" a="1"/>
  <c r="F31" i="2"/>
  <c r="F32" i="2" a="1"/>
  <c r="F32" i="2"/>
  <c r="F33" i="2" a="1"/>
  <c r="F33" i="2"/>
  <c r="F34" i="2" a="1"/>
  <c r="F34" i="2"/>
  <c r="F35" i="2" a="1"/>
  <c r="F35" i="2"/>
  <c r="F36" i="2" a="1"/>
  <c r="F36" i="2"/>
  <c r="F37" i="2" a="1"/>
  <c r="F37" i="2"/>
  <c r="F38" i="2" a="1"/>
  <c r="F38" i="2"/>
  <c r="F3" i="2" a="1"/>
  <c r="F3" i="2" s="1"/>
  <c r="E4" i="2" a="1"/>
  <c r="E4" i="2"/>
  <c r="E5" i="2" a="1"/>
  <c r="E5" i="2"/>
  <c r="E6" i="2" a="1"/>
  <c r="E6" i="2"/>
  <c r="E7" i="2" a="1"/>
  <c r="E7" i="2"/>
  <c r="E8" i="2" a="1"/>
  <c r="E8" i="2"/>
  <c r="E9" i="2" a="1"/>
  <c r="E9" i="2"/>
  <c r="E10" i="2" a="1"/>
  <c r="E10" i="2"/>
  <c r="E11" i="2" a="1"/>
  <c r="E11" i="2"/>
  <c r="E12" i="2" a="1"/>
  <c r="E12" i="2"/>
  <c r="E13" i="2" a="1"/>
  <c r="E13" i="2"/>
  <c r="E14" i="2" a="1"/>
  <c r="E14" i="2"/>
  <c r="E15" i="2" a="1"/>
  <c r="E15" i="2"/>
  <c r="E16" i="2" a="1"/>
  <c r="E16" i="2"/>
  <c r="E17" i="2" a="1"/>
  <c r="E17" i="2"/>
  <c r="E18" i="2" a="1"/>
  <c r="E18" i="2"/>
  <c r="E19" i="2" a="1"/>
  <c r="E19" i="2"/>
  <c r="E20" i="2" a="1"/>
  <c r="E20" i="2"/>
  <c r="E21" i="2" a="1"/>
  <c r="E21" i="2"/>
  <c r="E22" i="2" a="1"/>
  <c r="E22" i="2"/>
  <c r="E23" i="2" a="1"/>
  <c r="E23" i="2"/>
  <c r="E24" i="2" a="1"/>
  <c r="E24" i="2"/>
  <c r="E25" i="2" a="1"/>
  <c r="E25" i="2"/>
  <c r="E26" i="2" a="1"/>
  <c r="E26" i="2"/>
  <c r="E27" i="2" a="1"/>
  <c r="E27" i="2"/>
  <c r="E28" i="2" a="1"/>
  <c r="E28" i="2"/>
  <c r="E29" i="2" a="1"/>
  <c r="E29" i="2"/>
  <c r="E30" i="2" a="1"/>
  <c r="E30" i="2"/>
  <c r="E31" i="2" a="1"/>
  <c r="E31" i="2"/>
  <c r="E32" i="2" a="1"/>
  <c r="E32" i="2"/>
  <c r="E33" i="2" a="1"/>
  <c r="E33" i="2"/>
  <c r="E34" i="2" a="1"/>
  <c r="E34" i="2"/>
  <c r="E35" i="2" a="1"/>
  <c r="E35" i="2"/>
  <c r="E36" i="2" a="1"/>
  <c r="E36" i="2"/>
  <c r="E37" i="2" a="1"/>
  <c r="E37" i="2"/>
  <c r="E38" i="2" a="1"/>
  <c r="E38" i="2"/>
  <c r="E3" i="2" a="1"/>
  <c r="E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" i="2" a="1"/>
  <c r="D3" i="2" s="1"/>
  <c r="C4" i="6" a="1"/>
  <c r="C4" i="6" s="1"/>
  <c r="C5" i="6" a="1"/>
  <c r="C5" i="6"/>
  <c r="C6" i="6" a="1"/>
  <c r="C6" i="6" s="1"/>
  <c r="C7" i="6" a="1"/>
  <c r="C7" i="6"/>
  <c r="C8" i="6" a="1"/>
  <c r="C8" i="6"/>
  <c r="C9" i="6" a="1"/>
  <c r="C9" i="6"/>
  <c r="C10" i="6" a="1"/>
  <c r="C10" i="6" s="1"/>
  <c r="C11" i="6" a="1"/>
  <c r="C11" i="6"/>
  <c r="C12" i="6" a="1"/>
  <c r="C12" i="6" s="1"/>
  <c r="C13" i="6" a="1"/>
  <c r="C13" i="6"/>
  <c r="C14" i="6" a="1"/>
  <c r="C14" i="6"/>
  <c r="C15" i="6" a="1"/>
  <c r="C15" i="6"/>
  <c r="C16" i="6" a="1"/>
  <c r="C16" i="6" s="1"/>
  <c r="C17" i="6" a="1"/>
  <c r="C17" i="6"/>
  <c r="C18" i="6" a="1"/>
  <c r="C18" i="6" s="1"/>
  <c r="C19" i="6" a="1"/>
  <c r="C19" i="6"/>
  <c r="C20" i="6" a="1"/>
  <c r="C20" i="6"/>
  <c r="C21" i="6" a="1"/>
  <c r="C21" i="6"/>
  <c r="C22" i="6" a="1"/>
  <c r="C22" i="6" s="1"/>
  <c r="C23" i="6" a="1"/>
  <c r="C23" i="6"/>
  <c r="C24" i="6" a="1"/>
  <c r="C24" i="6" s="1"/>
  <c r="C25" i="6" a="1"/>
  <c r="C25" i="6"/>
  <c r="C26" i="6" a="1"/>
  <c r="C26" i="6"/>
  <c r="C27" i="6" a="1"/>
  <c r="C27" i="6"/>
  <c r="C28" i="6" a="1"/>
  <c r="C28" i="6" s="1"/>
  <c r="C29" i="6" a="1"/>
  <c r="C29" i="6"/>
  <c r="C30" i="6" a="1"/>
  <c r="C30" i="6" s="1"/>
  <c r="C31" i="6" a="1"/>
  <c r="C31" i="6"/>
  <c r="C32" i="6" a="1"/>
  <c r="C32" i="6"/>
  <c r="C33" i="6" a="1"/>
  <c r="C33" i="6"/>
  <c r="C34" i="6" a="1"/>
  <c r="C34" i="6" s="1"/>
  <c r="C35" i="6" a="1"/>
  <c r="C35" i="6"/>
  <c r="C36" i="6" a="1"/>
  <c r="C36" i="6" s="1"/>
  <c r="C37" i="6" a="1"/>
  <c r="C37" i="6"/>
  <c r="C38" i="6" a="1"/>
  <c r="C38" i="6"/>
  <c r="C4" i="5" a="1"/>
  <c r="C4" i="5" s="1"/>
  <c r="C5" i="5" a="1"/>
  <c r="C5" i="5"/>
  <c r="C6" i="5" a="1"/>
  <c r="C6" i="5"/>
  <c r="C7" i="5" a="1"/>
  <c r="C7" i="5"/>
  <c r="C8" i="5" a="1"/>
  <c r="C8" i="5"/>
  <c r="C9" i="5" a="1"/>
  <c r="C9" i="5"/>
  <c r="C10" i="5" a="1"/>
  <c r="C10" i="5" s="1"/>
  <c r="C11" i="5" a="1"/>
  <c r="C11" i="5"/>
  <c r="C12" i="5" a="1"/>
  <c r="C12" i="5"/>
  <c r="C13" i="5" a="1"/>
  <c r="C13" i="5"/>
  <c r="C14" i="5" a="1"/>
  <c r="C14" i="5"/>
  <c r="C15" i="5" a="1"/>
  <c r="C15" i="5"/>
  <c r="C16" i="5" a="1"/>
  <c r="C16" i="5" s="1"/>
  <c r="C17" i="5" a="1"/>
  <c r="C17" i="5"/>
  <c r="C18" i="5" a="1"/>
  <c r="C18" i="5"/>
  <c r="C19" i="5" a="1"/>
  <c r="C19" i="5"/>
  <c r="C20" i="5" a="1"/>
  <c r="C20" i="5"/>
  <c r="C21" i="5" a="1"/>
  <c r="C21" i="5"/>
  <c r="C22" i="5" a="1"/>
  <c r="C22" i="5" s="1"/>
  <c r="C23" i="5" a="1"/>
  <c r="C23" i="5"/>
  <c r="C24" i="5" a="1"/>
  <c r="C24" i="5"/>
  <c r="C25" i="5" a="1"/>
  <c r="C25" i="5"/>
  <c r="C26" i="5" a="1"/>
  <c r="C26" i="5"/>
  <c r="C27" i="5" a="1"/>
  <c r="C27" i="5"/>
  <c r="C28" i="5" a="1"/>
  <c r="C28" i="5" s="1"/>
  <c r="C29" i="5" a="1"/>
  <c r="C29" i="5"/>
  <c r="C30" i="5" a="1"/>
  <c r="C30" i="5"/>
  <c r="C31" i="5" a="1"/>
  <c r="C31" i="5"/>
  <c r="C32" i="5" a="1"/>
  <c r="C32" i="5"/>
  <c r="C33" i="5" a="1"/>
  <c r="C33" i="5"/>
  <c r="C34" i="5" a="1"/>
  <c r="C34" i="5" s="1"/>
  <c r="C35" i="5" a="1"/>
  <c r="C35" i="5"/>
  <c r="C36" i="5" a="1"/>
  <c r="C36" i="5"/>
  <c r="C37" i="5" a="1"/>
  <c r="C37" i="5"/>
  <c r="C38" i="5" a="1"/>
  <c r="C38" i="5"/>
  <c r="C4" i="4" a="1"/>
  <c r="C4" i="4" s="1"/>
  <c r="C5" i="4" a="1"/>
  <c r="C5" i="4"/>
  <c r="C6" i="4" a="1"/>
  <c r="C6" i="4"/>
  <c r="C7" i="4" a="1"/>
  <c r="C7" i="4"/>
  <c r="C8" i="4" a="1"/>
  <c r="C8" i="4"/>
  <c r="C9" i="4" a="1"/>
  <c r="C9" i="4"/>
  <c r="C10" i="4" a="1"/>
  <c r="C10" i="4" s="1"/>
  <c r="C11" i="4" a="1"/>
  <c r="C11" i="4"/>
  <c r="C12" i="4" a="1"/>
  <c r="C12" i="4"/>
  <c r="C13" i="4" a="1"/>
  <c r="C13" i="4"/>
  <c r="C14" i="4" a="1"/>
  <c r="C14" i="4"/>
  <c r="C15" i="4" a="1"/>
  <c r="C15" i="4"/>
  <c r="C16" i="4" a="1"/>
  <c r="C16" i="4" s="1"/>
  <c r="C17" i="4" a="1"/>
  <c r="C17" i="4"/>
  <c r="C18" i="4" a="1"/>
  <c r="C18" i="4"/>
  <c r="C19" i="4" a="1"/>
  <c r="C19" i="4"/>
  <c r="C20" i="4" a="1"/>
  <c r="C20" i="4"/>
  <c r="C21" i="4" a="1"/>
  <c r="C21" i="4"/>
  <c r="C22" i="4" a="1"/>
  <c r="C22" i="4" s="1"/>
  <c r="C23" i="4" a="1"/>
  <c r="C23" i="4"/>
  <c r="C24" i="4" a="1"/>
  <c r="C24" i="4"/>
  <c r="C25" i="4" a="1"/>
  <c r="C25" i="4"/>
  <c r="C26" i="4" a="1"/>
  <c r="C26" i="4"/>
  <c r="C27" i="4" a="1"/>
  <c r="C27" i="4"/>
  <c r="C28" i="4" a="1"/>
  <c r="C28" i="4" s="1"/>
  <c r="C29" i="4" a="1"/>
  <c r="C29" i="4"/>
  <c r="C30" i="4" a="1"/>
  <c r="C30" i="4"/>
  <c r="C31" i="4" a="1"/>
  <c r="C31" i="4"/>
  <c r="C32" i="4" a="1"/>
  <c r="C32" i="4"/>
  <c r="C33" i="4" a="1"/>
  <c r="C33" i="4"/>
  <c r="C34" i="4" a="1"/>
  <c r="C34" i="4" s="1"/>
  <c r="C35" i="4" a="1"/>
  <c r="C35" i="4"/>
  <c r="C36" i="4" a="1"/>
  <c r="C36" i="4"/>
  <c r="C37" i="4" a="1"/>
  <c r="C37" i="4"/>
  <c r="C38" i="4" a="1"/>
  <c r="C38" i="4"/>
  <c r="C4" i="3" a="1"/>
  <c r="C4" i="3"/>
  <c r="C5" i="3" a="1"/>
  <c r="C5" i="3"/>
  <c r="C6" i="3" a="1"/>
  <c r="C6" i="3"/>
  <c r="C7" i="3" a="1"/>
  <c r="C7" i="3"/>
  <c r="C8" i="3" a="1"/>
  <c r="C8" i="3"/>
  <c r="C9" i="3" a="1"/>
  <c r="C9" i="3"/>
  <c r="C10" i="3" a="1"/>
  <c r="C10" i="3"/>
  <c r="C11" i="3" a="1"/>
  <c r="C11" i="3"/>
  <c r="C12" i="3" a="1"/>
  <c r="C12" i="3"/>
  <c r="C13" i="3" a="1"/>
  <c r="C13" i="3"/>
  <c r="C14" i="3" a="1"/>
  <c r="C14" i="3"/>
  <c r="C15" i="3" a="1"/>
  <c r="C15" i="3"/>
  <c r="C16" i="3" a="1"/>
  <c r="C16" i="3"/>
  <c r="C17" i="3" a="1"/>
  <c r="C17" i="3"/>
  <c r="C18" i="3" a="1"/>
  <c r="C18" i="3"/>
  <c r="C19" i="3" a="1"/>
  <c r="C19" i="3"/>
  <c r="C20" i="3" a="1"/>
  <c r="C20" i="3"/>
  <c r="C21" i="3" a="1"/>
  <c r="C21" i="3"/>
  <c r="C22" i="3" a="1"/>
  <c r="C22" i="3"/>
  <c r="C23" i="3" a="1"/>
  <c r="C23" i="3"/>
  <c r="C24" i="3" a="1"/>
  <c r="C24" i="3"/>
  <c r="C25" i="3" a="1"/>
  <c r="C25" i="3"/>
  <c r="C26" i="3" a="1"/>
  <c r="C26" i="3"/>
  <c r="C27" i="3" a="1"/>
  <c r="C27" i="3"/>
  <c r="C28" i="3" a="1"/>
  <c r="C28" i="3"/>
  <c r="C29" i="3" a="1"/>
  <c r="C29" i="3"/>
  <c r="C30" i="3" a="1"/>
  <c r="C30" i="3"/>
  <c r="C31" i="3" a="1"/>
  <c r="C31" i="3"/>
  <c r="C32" i="3" a="1"/>
  <c r="C32" i="3"/>
  <c r="C33" i="3" a="1"/>
  <c r="C33" i="3"/>
  <c r="C34" i="3" a="1"/>
  <c r="C34" i="3"/>
  <c r="C35" i="3" a="1"/>
  <c r="C35" i="3"/>
  <c r="C36" i="3" a="1"/>
  <c r="C36" i="3"/>
  <c r="C37" i="3" a="1"/>
  <c r="C37" i="3"/>
  <c r="C38" i="3" a="1"/>
  <c r="C38" i="3"/>
  <c r="C4" i="2" a="1"/>
  <c r="C4" i="2" s="1"/>
  <c r="C5" i="2" a="1"/>
  <c r="C5" i="2"/>
  <c r="C6" i="2" a="1"/>
  <c r="C6" i="2"/>
  <c r="C7" i="2" a="1"/>
  <c r="C7" i="2"/>
  <c r="C8" i="2" a="1"/>
  <c r="C8" i="2"/>
  <c r="C9" i="2" a="1"/>
  <c r="C9" i="2"/>
  <c r="C10" i="2" a="1"/>
  <c r="C10" i="2" s="1"/>
  <c r="C11" i="2" a="1"/>
  <c r="C11" i="2"/>
  <c r="C12" i="2" a="1"/>
  <c r="C12" i="2"/>
  <c r="C13" i="2" a="1"/>
  <c r="C13" i="2"/>
  <c r="C14" i="2" a="1"/>
  <c r="C14" i="2"/>
  <c r="C15" i="2" a="1"/>
  <c r="C15" i="2"/>
  <c r="C16" i="2" a="1"/>
  <c r="C16" i="2" s="1"/>
  <c r="C17" i="2" a="1"/>
  <c r="C17" i="2"/>
  <c r="C18" i="2" a="1"/>
  <c r="C18" i="2"/>
  <c r="C19" i="2" a="1"/>
  <c r="C19" i="2"/>
  <c r="C20" i="2" a="1"/>
  <c r="C20" i="2"/>
  <c r="C21" i="2" a="1"/>
  <c r="C21" i="2"/>
  <c r="C22" i="2" a="1"/>
  <c r="C22" i="2" s="1"/>
  <c r="C23" i="2" a="1"/>
  <c r="C23" i="2"/>
  <c r="C24" i="2" a="1"/>
  <c r="C24" i="2"/>
  <c r="C25" i="2" a="1"/>
  <c r="C25" i="2"/>
  <c r="C26" i="2" a="1"/>
  <c r="C26" i="2"/>
  <c r="C27" i="2" a="1"/>
  <c r="C27" i="2"/>
  <c r="C28" i="2" a="1"/>
  <c r="C28" i="2" s="1"/>
  <c r="C29" i="2" a="1"/>
  <c r="C29" i="2"/>
  <c r="C30" i="2" a="1"/>
  <c r="C30" i="2"/>
  <c r="C31" i="2" a="1"/>
  <c r="C31" i="2"/>
  <c r="C32" i="2" a="1"/>
  <c r="C32" i="2"/>
  <c r="C33" i="2" a="1"/>
  <c r="C33" i="2"/>
  <c r="C34" i="2" a="1"/>
  <c r="C34" i="2" s="1"/>
  <c r="C35" i="2" a="1"/>
  <c r="C35" i="2"/>
  <c r="C36" i="2" a="1"/>
  <c r="C36" i="2"/>
  <c r="C37" i="2" a="1"/>
  <c r="C37" i="2"/>
  <c r="C38" i="2" a="1"/>
  <c r="C38" i="2"/>
  <c r="C3" i="6" a="1"/>
  <c r="C3" i="6"/>
  <c r="C3" i="5" a="1"/>
  <c r="C3" i="5"/>
  <c r="C3" i="4" a="1"/>
  <c r="C3" i="4"/>
  <c r="C3" i="3" a="1"/>
  <c r="C3" i="3" s="1"/>
  <c r="C3" i="2" a="1"/>
  <c r="C3" i="2" s="1"/>
  <c r="C3" i="1" a="1"/>
  <c r="C3" i="1" s="1"/>
  <c r="C4" i="1" a="1"/>
  <c r="C4" i="1"/>
  <c r="C5" i="1" a="1"/>
  <c r="C5" i="1"/>
  <c r="C6" i="1" a="1"/>
  <c r="C6" i="1" s="1"/>
  <c r="C7" i="1" a="1"/>
  <c r="C7" i="1" s="1"/>
  <c r="C8" i="1" a="1"/>
  <c r="C8" i="1"/>
  <c r="C9" i="1" a="1"/>
  <c r="C9" i="1"/>
  <c r="C10" i="1" a="1"/>
  <c r="C10" i="1"/>
  <c r="C11" i="1" a="1"/>
  <c r="C11" i="1"/>
  <c r="C12" i="1" a="1"/>
  <c r="C12" i="1" s="1"/>
  <c r="C13" i="1" a="1"/>
  <c r="C13" i="1"/>
  <c r="C14" i="1" a="1"/>
  <c r="C14" i="1"/>
  <c r="C15" i="1" a="1"/>
  <c r="C15" i="1"/>
  <c r="C16" i="1" a="1"/>
  <c r="C16" i="1" s="1"/>
  <c r="C17" i="1" a="1"/>
  <c r="C17" i="1"/>
  <c r="C18" i="1" a="1"/>
  <c r="C18" i="1" s="1"/>
  <c r="C19" i="1" a="1"/>
  <c r="C19" i="1"/>
  <c r="C20" i="1" a="1"/>
  <c r="C20" i="1"/>
  <c r="C21" i="1" a="1"/>
  <c r="C21" i="1"/>
  <c r="C22" i="1" a="1"/>
  <c r="C22" i="1" s="1"/>
  <c r="C23" i="1" a="1"/>
  <c r="C23" i="1"/>
  <c r="C24" i="1" a="1"/>
  <c r="C24" i="1" s="1"/>
  <c r="C25" i="1" a="1"/>
  <c r="C25" i="1"/>
  <c r="C26" i="1" a="1"/>
  <c r="C26" i="1"/>
  <c r="C27" i="1" a="1"/>
  <c r="C27" i="1"/>
  <c r="C28" i="1" a="1"/>
  <c r="C28" i="1" s="1"/>
  <c r="C29" i="1" a="1"/>
  <c r="C29" i="1"/>
  <c r="C30" i="1" a="1"/>
  <c r="C30" i="1" s="1"/>
  <c r="C31" i="1" a="1"/>
  <c r="C31" i="1"/>
  <c r="C32" i="1" a="1"/>
  <c r="C32" i="1"/>
  <c r="C33" i="1" a="1"/>
  <c r="C33" i="1"/>
  <c r="C34" i="1" a="1"/>
  <c r="C34" i="1" s="1"/>
  <c r="C35" i="1" a="1"/>
  <c r="C35" i="1"/>
  <c r="C36" i="1" a="1"/>
  <c r="C36" i="1" s="1"/>
  <c r="C37" i="1" a="1"/>
  <c r="C37" i="1"/>
  <c r="C38" i="1" a="1"/>
  <c r="C38" i="1" s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" i="1" a="1"/>
  <c r="F3" i="1" s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 s="1"/>
  <c r="G26" i="1" a="1"/>
  <c r="G26" i="1"/>
  <c r="G27" i="1" a="1"/>
  <c r="G27" i="1" s="1"/>
  <c r="G28" i="1" a="1"/>
  <c r="G28" i="1"/>
  <c r="G29" i="1" a="1"/>
  <c r="G29" i="1"/>
  <c r="G30" i="1" a="1"/>
  <c r="G30" i="1" s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" i="1" a="1"/>
  <c r="G3" i="1" s="1"/>
  <c r="E4" i="1" a="1"/>
  <c r="E4" i="1"/>
  <c r="E5" i="1" a="1"/>
  <c r="E5" i="1" s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 s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 s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 s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 s="1"/>
  <c r="E30" i="1" a="1"/>
  <c r="E30" i="1"/>
  <c r="E31" i="1" a="1"/>
  <c r="E31" i="1"/>
  <c r="E32" i="1" a="1"/>
  <c r="E32" i="1"/>
  <c r="E33" i="1" a="1"/>
  <c r="E33" i="1"/>
  <c r="E34" i="1" a="1"/>
  <c r="E34" i="1" s="1"/>
  <c r="E35" i="1" a="1"/>
  <c r="E35" i="1" s="1"/>
  <c r="E36" i="1" a="1"/>
  <c r="E36" i="1"/>
  <c r="E37" i="1" a="1"/>
  <c r="E37" i="1"/>
  <c r="E38" i="1" a="1"/>
  <c r="E38" i="1"/>
  <c r="E3" i="1" a="1"/>
  <c r="E3" i="1"/>
  <c r="D4" i="1" a="1"/>
  <c r="D4" i="1" s="1"/>
  <c r="D5" i="1" a="1"/>
  <c r="D5" i="1" s="1"/>
  <c r="D6" i="1" a="1"/>
  <c r="D6" i="1" s="1"/>
  <c r="D7" i="1" a="1"/>
  <c r="D7" i="1"/>
  <c r="D8" i="1" a="1"/>
  <c r="D8" i="1"/>
  <c r="D9" i="1" a="1"/>
  <c r="D9" i="1"/>
  <c r="D10" i="1" a="1"/>
  <c r="D10" i="1" s="1"/>
  <c r="D11" i="1" a="1"/>
  <c r="D11" i="1" s="1"/>
  <c r="D12" i="1" a="1"/>
  <c r="D12" i="1"/>
  <c r="D13" i="1" a="1"/>
  <c r="D13" i="1"/>
  <c r="D14" i="1" a="1"/>
  <c r="D14" i="1"/>
  <c r="D15" i="1" a="1"/>
  <c r="D15" i="1"/>
  <c r="D16" i="1" a="1"/>
  <c r="D16" i="1" s="1"/>
  <c r="D17" i="1" a="1"/>
  <c r="D17" i="1" s="1"/>
  <c r="D18" i="1" a="1"/>
  <c r="D18" i="1" s="1"/>
  <c r="D19" i="1" a="1"/>
  <c r="D19" i="1" s="1"/>
  <c r="D20" i="1" a="1"/>
  <c r="D20" i="1"/>
  <c r="D21" i="1" a="1"/>
  <c r="D21" i="1"/>
  <c r="D22" i="1" a="1"/>
  <c r="D22" i="1" s="1"/>
  <c r="D23" i="1" a="1"/>
  <c r="D23" i="1"/>
  <c r="D24" i="1" a="1"/>
  <c r="D24" i="1" s="1"/>
  <c r="D25" i="1" a="1"/>
  <c r="D25" i="1"/>
  <c r="D26" i="1" a="1"/>
  <c r="D26" i="1"/>
  <c r="D27" i="1" a="1"/>
  <c r="D27" i="1" s="1"/>
  <c r="D28" i="1" a="1"/>
  <c r="D28" i="1" s="1"/>
  <c r="D29" i="1" a="1"/>
  <c r="D29" i="1"/>
  <c r="D30" i="1" a="1"/>
  <c r="D30" i="1"/>
  <c r="D31" i="1" a="1"/>
  <c r="D31" i="1" s="1"/>
  <c r="D32" i="1" a="1"/>
  <c r="D32" i="1"/>
  <c r="D33" i="1" a="1"/>
  <c r="D33" i="1"/>
  <c r="D34" i="1" a="1"/>
  <c r="D34" i="1" s="1"/>
  <c r="D35" i="1" a="1"/>
  <c r="D35" i="1"/>
  <c r="D36" i="1" a="1"/>
  <c r="D36" i="1"/>
  <c r="D37" i="1" a="1"/>
  <c r="D37" i="1" s="1"/>
  <c r="D38" i="1" a="1"/>
  <c r="D38" i="1" s="1"/>
  <c r="D3" i="1" a="1"/>
  <c r="D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<sst xmlns="http://schemas.openxmlformats.org/spreadsheetml/2006/main" count="513" uniqueCount="75">
  <si>
    <t>Beerburrum</t>
  </si>
  <si>
    <t>Glass House Mountains</t>
  </si>
  <si>
    <t>Beerwah</t>
  </si>
  <si>
    <t>Landsborough</t>
  </si>
  <si>
    <t xml:space="preserve">Mooloolah  </t>
  </si>
  <si>
    <t>Eudlo</t>
  </si>
  <si>
    <t>Palmwoods</t>
  </si>
  <si>
    <t>Woombye</t>
  </si>
  <si>
    <t xml:space="preserve">Nambour </t>
  </si>
  <si>
    <t>Suburb / Node</t>
  </si>
  <si>
    <t>Geographic Zone</t>
  </si>
  <si>
    <t>Governance Authority</t>
  </si>
  <si>
    <t>Key Risk Category</t>
  </si>
  <si>
    <t>Compliance Checklist / Metric</t>
  </si>
  <si>
    <t>Data Source / Link</t>
  </si>
  <si>
    <t>Date</t>
  </si>
  <si>
    <t>26.06.2026</t>
  </si>
  <si>
    <t xml:space="preserve">Ormeau </t>
  </si>
  <si>
    <t xml:space="preserve">Pimpama </t>
  </si>
  <si>
    <t xml:space="preserve">Coomera </t>
  </si>
  <si>
    <t xml:space="preserve">Hope Island </t>
  </si>
  <si>
    <t xml:space="preserve">Helensvale </t>
  </si>
  <si>
    <t xml:space="preserve">Nerang </t>
  </si>
  <si>
    <t xml:space="preserve">Robina </t>
  </si>
  <si>
    <t xml:space="preserve">Varsity Lakes </t>
  </si>
  <si>
    <t>Kippa-Ring</t>
  </si>
  <si>
    <t xml:space="preserve">Rothwell </t>
  </si>
  <si>
    <t xml:space="preserve">Mango Hill </t>
  </si>
  <si>
    <t>Mango Hill East</t>
  </si>
  <si>
    <t>Murrumba Downs</t>
  </si>
  <si>
    <t xml:space="preserve">Kallangur </t>
  </si>
  <si>
    <t>Petrie</t>
  </si>
  <si>
    <t>Caboolture</t>
  </si>
  <si>
    <t>Morayfield</t>
  </si>
  <si>
    <t>Burpengary</t>
  </si>
  <si>
    <t>Narangba</t>
  </si>
  <si>
    <t>Dakabin</t>
  </si>
  <si>
    <t>Redbank</t>
  </si>
  <si>
    <t xml:space="preserve">Ipswich </t>
  </si>
  <si>
    <t>Rosewood</t>
  </si>
  <si>
    <t>Wacol</t>
  </si>
  <si>
    <t>Springfield</t>
  </si>
  <si>
    <t xml:space="preserve">Springfield Central </t>
  </si>
  <si>
    <t>Sunshine Coast</t>
  </si>
  <si>
    <t>Gold Coast</t>
  </si>
  <si>
    <t>Moreton Bay</t>
  </si>
  <si>
    <t>Ipswich CBD</t>
  </si>
  <si>
    <t>Elimbah</t>
  </si>
  <si>
    <t xml:space="preserve">Plastic Data from Gold Coast to Sunshine Coast </t>
  </si>
  <si>
    <t>Requirements</t>
  </si>
  <si>
    <t xml:space="preserve">Food Data from Gold Coast to Sunshine Coast </t>
  </si>
  <si>
    <t xml:space="preserve">Furniture Data from Gold Coast to Sunshine Coast </t>
  </si>
  <si>
    <t xml:space="preserve">Wooden Data from Gold Coast to Sunshine Coast </t>
  </si>
  <si>
    <t xml:space="preserve">Clothes Data from Gold Coast to Sunshine Coast </t>
  </si>
  <si>
    <t xml:space="preserve">Groceries Data from Gold Coast to Sunshine Coast </t>
  </si>
  <si>
    <t xml:space="preserve">Sector </t>
  </si>
  <si>
    <t>Total Monitored Nodes</t>
  </si>
  <si>
    <t>Plastic</t>
  </si>
  <si>
    <t xml:space="preserve">Food </t>
  </si>
  <si>
    <t>Furniture</t>
  </si>
  <si>
    <t>Wooden</t>
  </si>
  <si>
    <t>Clothes</t>
  </si>
  <si>
    <t>Groceries</t>
  </si>
  <si>
    <t>Cross-Sector Data Density</t>
  </si>
  <si>
    <t>Regional Governance Breakdown</t>
  </si>
  <si>
    <t>Plastic Risks</t>
  </si>
  <si>
    <t>Food Risks</t>
  </si>
  <si>
    <t xml:space="preserve">Furniture Risks </t>
  </si>
  <si>
    <t>Wooden Risks</t>
  </si>
  <si>
    <t>Clothes Risks</t>
  </si>
  <si>
    <t>Groceries Risks</t>
  </si>
  <si>
    <t xml:space="preserve">Sunshine Coast Council </t>
  </si>
  <si>
    <t>City of Moreton Bay</t>
  </si>
  <si>
    <t>City of Gold Coast</t>
  </si>
  <si>
    <t>Ipswich City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</si>
</sst>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Distribution by Regional Governance Authority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Sunshine Coast Council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Dashboard!$B$12:$G$12</c:f>
              <c:strCache>
                <c:ptCount val="6"/>
                <c:pt idx="0">
                  <c:v>Plastic Risks</c:v>
                </c:pt>
                <c:pt idx="1">
                  <c:v>Food Risks</c:v>
                </c:pt>
                <c:pt idx="2">
                  <c:v>Furniture Risks </c:v>
                </c:pt>
                <c:pt idx="3">
                  <c:v>Wooden Risks</c:v>
                </c:pt>
                <c:pt idx="4">
                  <c:v>Clothes Risks</c:v>
                </c:pt>
                <c:pt idx="5">
                  <c:v>Groceries Risks</c:v>
                </c:pt>
              </c:strCache>
            </c:strRef>
          </c:cat>
          <c:val>
            <c:numRef>
              <c:f>Dashboard!$B$13:$G$13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419A-9358-7468A899053A}"/>
            </c:ext>
          </c:extLst>
        </c:ser>
        <c:ser>
          <c:idx val="1"/>
          <c:order val="1"/>
          <c:tx>
            <c:strRef>
              <c:f>Dashboard!$A$14</c:f>
              <c:strCache>
                <c:ptCount val="1"/>
                <c:pt idx="0">
                  <c:v>City of Moreton Bay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Dashboard!$B$12:$G$12</c:f>
              <c:strCache>
                <c:ptCount val="6"/>
                <c:pt idx="0">
                  <c:v>Plastic Risks</c:v>
                </c:pt>
                <c:pt idx="1">
                  <c:v>Food Risks</c:v>
                </c:pt>
                <c:pt idx="2">
                  <c:v>Furniture Risks </c:v>
                </c:pt>
                <c:pt idx="3">
                  <c:v>Wooden Risks</c:v>
                </c:pt>
                <c:pt idx="4">
                  <c:v>Clothes Risks</c:v>
                </c:pt>
                <c:pt idx="5">
                  <c:v>Groceries Risks</c:v>
                </c:pt>
              </c:strCache>
            </c:strRef>
          </c:cat>
          <c:val>
            <c:numRef>
              <c:f>Dashboard!$B$14:$G$14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C-419A-9358-7468A899053A}"/>
            </c:ext>
          </c:extLst>
        </c:ser>
        <c:ser>
          <c:idx val="2"/>
          <c:order val="2"/>
          <c:tx>
            <c:strRef>
              <c:f>Dashboard!$A$15</c:f>
              <c:strCache>
                <c:ptCount val="1"/>
                <c:pt idx="0">
                  <c:v>City of Gold Coast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Dashboard!$B$12:$G$12</c:f>
              <c:strCache>
                <c:ptCount val="6"/>
                <c:pt idx="0">
                  <c:v>Plastic Risks</c:v>
                </c:pt>
                <c:pt idx="1">
                  <c:v>Food Risks</c:v>
                </c:pt>
                <c:pt idx="2">
                  <c:v>Furniture Risks </c:v>
                </c:pt>
                <c:pt idx="3">
                  <c:v>Wooden Risks</c:v>
                </c:pt>
                <c:pt idx="4">
                  <c:v>Clothes Risks</c:v>
                </c:pt>
                <c:pt idx="5">
                  <c:v>Groceries Risks</c:v>
                </c:pt>
              </c:strCache>
            </c:strRef>
          </c:cat>
          <c:val>
            <c:numRef>
              <c:f>Dashboard!$B$15:$G$15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1C-419A-9358-7468A899053A}"/>
            </c:ext>
          </c:extLst>
        </c:ser>
        <c:ser>
          <c:idx val="3"/>
          <c:order val="3"/>
          <c:tx>
            <c:strRef>
              <c:f>Dashboard!$A$16</c:f>
              <c:strCache>
                <c:ptCount val="1"/>
                <c:pt idx="0">
                  <c:v>Ipswich City Council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Dashboard!$B$12:$G$12</c:f>
              <c:strCache>
                <c:ptCount val="6"/>
                <c:pt idx="0">
                  <c:v>Plastic Risks</c:v>
                </c:pt>
                <c:pt idx="1">
                  <c:v>Food Risks</c:v>
                </c:pt>
                <c:pt idx="2">
                  <c:v>Furniture Risks </c:v>
                </c:pt>
                <c:pt idx="3">
                  <c:v>Wooden Risks</c:v>
                </c:pt>
                <c:pt idx="4">
                  <c:v>Clothes Risks</c:v>
                </c:pt>
                <c:pt idx="5">
                  <c:v>Groceries Risks</c:v>
                </c:pt>
              </c:strCache>
            </c:strRef>
          </c:cat>
          <c:val>
            <c:numRef>
              <c:f>Dashboard!$B$16:$G$16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1C-419A-9358-7468A899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320752"/>
        <c:axId val="351323152"/>
      </c:barChart>
      <c:catAx>
        <c:axId val="35132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Types of Risks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23152"/>
        <c:crosses val="autoZero"/>
        <c:auto val="1"/>
        <c:lblAlgn val="ctr"/>
        <c:lblOffset val="100"/>
        <c:noMultiLvlLbl val="0"/>
      </c:catAx>
      <c:valAx>
        <c:axId val="3513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Risks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2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358140</xdr:colOff>
      <xdr:row>4</xdr:row>
      <xdr:rowOff>34290</xdr:rowOff>
    </xdr:from>
    <xdr:to>
      <xdr:col>16</xdr:col>
      <xdr:colOff>53340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83039-3392-5674-A7D5-FB962563B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2989-854C-4CEC-A687-C05673785AD7}">
  <dimension ref="A1:I38"/>
  <sheetViews>
    <sheetView workbookViewId="0">
      <selection activeCell="H2" sqref="H2"/>
    </sheetView>
  </sheetViews>
  <sheetFormatPr defaultRowHeight="14.4" x14ac:dyDescent="0.3"/>
  <cols>
    <col min="1" max="1" width="24.33203125" bestFit="1" customWidth="1"/>
    <col min="2" max="2" width="23.5546875" bestFit="1" customWidth="1"/>
    <col min="3" max="3" width="29" bestFit="1" customWidth="1"/>
    <col min="4" max="4" width="44.5546875" bestFit="1" customWidth="1"/>
    <col min="5" max="5" width="66.88671875" bestFit="1" customWidth="1"/>
    <col min="6" max="6" width="55.77734375" bestFit="1" customWidth="1"/>
    <col min="7" max="7" width="47.44140625" bestFit="1" customWidth="1"/>
    <col min="9" max="9" width="10.109375" bestFit="1" customWidth="1"/>
  </cols>
  <sheetData>
    <row r="1" spans="1:9" ht="46.8" thickBot="1" x14ac:dyDescent="0.35">
      <c r="A1" s="7" t="s">
        <v>48</v>
      </c>
      <c r="B1" s="7"/>
      <c r="C1" s="7"/>
      <c r="D1" s="7"/>
      <c r="E1" s="7"/>
      <c r="F1" s="7"/>
      <c r="G1" s="7"/>
      <c r="H1" t="s">
        <v>15</v>
      </c>
      <c r="I1" t="s">
        <v>16</v>
      </c>
    </row>
    <row r="2" spans="1:9" ht="66" customHeight="1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</v>
      </c>
      <c r="G2" s="1" t="s">
        <v>14</v>
      </c>
    </row>
    <row r="3" spans="1:9" ht="16.8" customHeight="1" x14ac:dyDescent="0.3">
      <c r="A3" s="3" t="s">
        <v>0</v>
      </c>
      <c r="B3" s="6" t="s">
        <v>43</v>
      </c>
      <c r="C3" s="6" t="str" cm="1">
        <f t="array" ref="C3">_xlfn.IFS(TRIM(B3)="Sunshine Coast","Sunshine Coast Council",TRIM(B3)="Moreton Bay","City of Moreton Bay",TRIM(B3)="Gold Coast","City of Gold Coast",TRIM(B3)="Ipswich","Ipswich City Council",TRUE,"")</f>
        <v>Sunshine Coast Council</v>
      </c>
      <c r="D3" s="6" t="str" cm="1">
        <f t="array" ref="D3">_xlfn.IFS(TRIM(B3)="Sunshine Coast", "Environmental Risk (ERA 12 Plastic Processing)", TRIM(B3)="Moreton Bay", "Industrial Operations Risk", TRIM(B3)="Gold Coast", "Logistics &amp; Supply Chain Risk", TRIM(B3)="Ipswich", "Manufacturing Zoning Risk", TRUE, "")</f>
        <v>Environmental Risk (ERA 12 Plastic Processing)</v>
      </c>
      <c r="E3" s="6" t="str" cm="1">
        <f t="array" ref="E3">_xlfn.IFS(TRIM(B3)="Sunshine Coast", "Operation Clean Sweep Audit &amp; Daily Machinery Safety Gate Verification", TRIM(B3)="Moreton Bay", "WHS Incident Log &amp; Heavy Equipment Check", TRIM(B3)="Gold Coast", "Transport Fatigue &amp; Loading Bay Audit", TRIM(B3)="Ipswich", "Council Trade Waste Permit Validation", TRUE, "")</f>
        <v>Operation Clean Sweep Audit &amp; Daily Machinery Safety Gate Verification</v>
      </c>
      <c r="F3" s="6" t="str" cm="1">
        <f t="array" ref="F3">_xlfn.IFS(TRIM(B3)="Sunshine Coast", "Zero-loss stormwater filtration &amp; chemical containment zones", TRIM(B3)="Moreton Bay", "Machinery isolation guards &amp; mandatory PPE enforcement", TRIM(B3)="Gold Coast", "Distribution logbook validation &amp; freight rest tracking", TRIM(B3)="Ipswich", "Industrial trade effluent testing &amp; zoning layout verification", TRUE, "")</f>
        <v>Zero-loss stormwater filtration &amp; chemical containment zones</v>
      </c>
      <c r="G3" s="6" t="str" cm="1">
        <f t="array" ref="G3">_xlfn.IFS(TRIM(B3)="Sunshine Coast", "DESI Industrial Licenses / MS Loop WHS Folder", TRIM(B3)="Moreton Bay", "WorkSafe QLD / Loop Incident Page", TRIM(B3)="Gold Coast", "QLD Transport Regs / Loop Commute Log", TRIM(B3)="Ipswich", "Ipswich City Council Bylaws / Loop Master Register", TRUE, "")</f>
        <v>DESI Industrial Licenses / MS Loop WHS Folder</v>
      </c>
    </row>
    <row r="4" spans="1:9" ht="15" x14ac:dyDescent="0.3">
      <c r="A4" s="3" t="s">
        <v>2</v>
      </c>
      <c r="B4" s="6" t="s">
        <v>43</v>
      </c>
      <c r="C4" s="6" t="str" cm="1">
        <f t="array" ref="C4">_xlfn.IFS(TRIM(B4)="Sunshine Coast","Sunshine Coast Council",TRIM(B4)="Moreton Bay","City of Moreton Bay",TRIM(B4)="Gold Coast","City of Gold Coast",TRIM(B4)="Ipswich","Ipswich City Council",TRUE,"")</f>
        <v>Sunshine Coast Council</v>
      </c>
      <c r="D4" s="6" t="str" cm="1">
        <f t="array" ref="D4">_xlfn.IFS(TRIM(B4)="Sunshine Coast", "Environmental Risk (ERA 12 Plastic Processing)", TRIM(B4)="Moreton Bay", "Industrial Operations Risk", TRIM(B4)="Gold Coast", "Logistics &amp; Supply Chain Risk", TRIM(B4)="Ipswich", "Manufacturing Zoning Risk", TRUE, "")</f>
        <v>Environmental Risk (ERA 12 Plastic Processing)</v>
      </c>
      <c r="E4" s="6" t="str" cm="1">
        <f t="array" ref="E4">_xlfn.IFS(TRIM(B4)="Sunshine Coast", "Operation Clean Sweep Audit &amp; Daily Machinery Safety Gate Verification", TRIM(B4)="Moreton Bay", "WHS Incident Log &amp; Heavy Equipment Check", TRIM(B4)="Gold Coast", "Transport Fatigue &amp; Loading Bay Audit", TRIM(B4)="Ipswich", "Council Trade Waste Permit Validation", TRUE, "")</f>
        <v>Operation Clean Sweep Audit &amp; Daily Machinery Safety Gate Verification</v>
      </c>
      <c r="F4" s="6" t="str" cm="1">
        <f t="array" ref="F4">_xlfn.IFS(TRIM(B4)="Sunshine Coast", "Zero-loss stormwater filtration &amp; chemical containment zones", TRIM(B4)="Moreton Bay", "Machinery isolation guards &amp; mandatory PPE enforcement", TRIM(B4)="Gold Coast", "Distribution logbook validation &amp; freight rest tracking", TRIM(B4)="Ipswich", "Industrial trade effluent testing &amp; zoning layout verification", TRUE, "")</f>
        <v>Zero-loss stormwater filtration &amp; chemical containment zones</v>
      </c>
      <c r="G4" s="6" t="str" cm="1">
        <f t="array" ref="G4">_xlfn.IFS(TRIM(B4)="Sunshine Coast", "DESI Industrial Licenses / MS Loop WHS Folder", TRIM(B4)="Moreton Bay", "WorkSafe QLD / Loop Incident Page", TRIM(B4)="Gold Coast", "QLD Transport Regs / Loop Commute Log", TRIM(B4)="Ipswich", "Ipswich City Council Bylaws / Loop Master Register", TRUE, "")</f>
        <v>DESI Industrial Licenses / MS Loop WHS Folder</v>
      </c>
    </row>
    <row r="5" spans="1:9" ht="15.6" x14ac:dyDescent="0.3">
      <c r="A5" s="4" t="s">
        <v>34</v>
      </c>
      <c r="B5" s="6" t="s">
        <v>45</v>
      </c>
      <c r="C5" s="6" t="str" cm="1">
        <f t="array" ref="C5">_xlfn.IFS(TRIM(B5)="Sunshine Coast","Sunshine Coast Council",TRIM(B5)="Moreton Bay","City of Moreton Bay",TRIM(B5)="Gold Coast","City of Gold Coast",TRIM(B5)="Ipswich","Ipswich City Council",TRUE,"")</f>
        <v>City of Moreton Bay</v>
      </c>
      <c r="D5" s="6" t="str" cm="1">
        <f t="array" ref="D5">_xlfn.IFS(TRIM(B5)="Sunshine Coast", "Environmental Risk (ERA 12 Plastic Processing)", TRIM(B5)="Moreton Bay", "Industrial Operations Risk", TRIM(B5)="Gold Coast", "Logistics &amp; Supply Chain Risk", TRIM(B5)="Ipswich", "Manufacturing Zoning Risk", TRUE, "")</f>
        <v>Industrial Operations Risk</v>
      </c>
      <c r="E5" s="6" t="str" cm="1">
        <f t="array" ref="E5">_xlfn.IFS(TRIM(B5)="Sunshine Coast", "Operation Clean Sweep Audit &amp; Daily Machinery Safety Gate Verification", TRIM(B5)="Moreton Bay", "WHS Incident Log &amp; Heavy Equipment Check", TRIM(B5)="Gold Coast", "Transport Fatigue &amp; Loading Bay Audit", TRIM(B5)="Ipswich", "Council Trade Waste Permit Validation", TRUE, "")</f>
        <v>WHS Incident Log &amp; Heavy Equipment Check</v>
      </c>
      <c r="F5" s="6" t="str" cm="1">
        <f t="array" ref="F5">_xlfn.IFS(TRIM(B5)="Sunshine Coast", "Zero-loss stormwater filtration &amp; chemical containment zones", TRIM(B5)="Moreton Bay", "Machinery isolation guards &amp; mandatory PPE enforcement", TRIM(B5)="Gold Coast", "Distribution logbook validation &amp; freight rest tracking", TRIM(B5)="Ipswich", "Industrial trade effluent testing &amp; zoning layout verification", TRUE, "")</f>
        <v>Machinery isolation guards &amp; mandatory PPE enforcement</v>
      </c>
      <c r="G5" s="6" t="str" cm="1">
        <f t="array" ref="G5">_xlfn.IFS(TRIM(B5)="Sunshine Coast", "DESI Industrial Licenses / MS Loop WHS Folder", TRIM(B5)="Moreton Bay", "WorkSafe QLD / Loop Incident Page", TRIM(B5)="Gold Coast", "QLD Transport Regs / Loop Commute Log", TRIM(B5)="Ipswich", "Ipswich City Council Bylaws / Loop Master Register", TRUE, "")</f>
        <v>WorkSafe QLD / Loop Incident Page</v>
      </c>
    </row>
    <row r="6" spans="1:9" ht="15.6" x14ac:dyDescent="0.3">
      <c r="A6" s="4" t="s">
        <v>32</v>
      </c>
      <c r="B6" s="6" t="s">
        <v>45</v>
      </c>
      <c r="C6" s="6" t="str" cm="1">
        <f t="array" ref="C6">_xlfn.IFS(TRIM(B6)="Sunshine Coast","Sunshine Coast Council",TRIM(B6)="Moreton Bay","City of Moreton Bay",TRIM(B6)="Gold Coast","City of Gold Coast",TRIM(B6)="Ipswich","Ipswich City Council",TRUE,"")</f>
        <v>City of Moreton Bay</v>
      </c>
      <c r="D6" s="6" t="str" cm="1">
        <f t="array" ref="D6">_xlfn.IFS(TRIM(B6)="Sunshine Coast", "Environmental Risk (ERA 12 Plastic Processing)", TRIM(B6)="Moreton Bay", "Industrial Operations Risk", TRIM(B6)="Gold Coast", "Logistics &amp; Supply Chain Risk", TRIM(B6)="Ipswich", "Manufacturing Zoning Risk", TRUE, "")</f>
        <v>Industrial Operations Risk</v>
      </c>
      <c r="E6" s="6" t="str" cm="1">
        <f t="array" ref="E6">_xlfn.IFS(TRIM(B6)="Sunshine Coast", "Operation Clean Sweep Audit &amp; Daily Machinery Safety Gate Verification", TRIM(B6)="Moreton Bay", "WHS Incident Log &amp; Heavy Equipment Check", TRIM(B6)="Gold Coast", "Transport Fatigue &amp; Loading Bay Audit", TRIM(B6)="Ipswich", "Council Trade Waste Permit Validation", TRUE, "")</f>
        <v>WHS Incident Log &amp; Heavy Equipment Check</v>
      </c>
      <c r="F6" s="6" t="str" cm="1">
        <f t="array" ref="F6">_xlfn.IFS(TRIM(B6)="Sunshine Coast", "Zero-loss stormwater filtration &amp; chemical containment zones", TRIM(B6)="Moreton Bay", "Machinery isolation guards &amp; mandatory PPE enforcement", TRIM(B6)="Gold Coast", "Distribution logbook validation &amp; freight rest tracking", TRIM(B6)="Ipswich", "Industrial trade effluent testing &amp; zoning layout verification", TRUE, "")</f>
        <v>Machinery isolation guards &amp; mandatory PPE enforcement</v>
      </c>
      <c r="G6" s="6" t="str" cm="1">
        <f t="array" ref="G6">_xlfn.IFS(TRIM(B6)="Sunshine Coast", "DESI Industrial Licenses / MS Loop WHS Folder", TRIM(B6)="Moreton Bay", "WorkSafe QLD / Loop Incident Page", TRIM(B6)="Gold Coast", "QLD Transport Regs / Loop Commute Log", TRIM(B6)="Ipswich", "Ipswich City Council Bylaws / Loop Master Register", TRUE, "")</f>
        <v>WorkSafe QLD / Loop Incident Page</v>
      </c>
    </row>
    <row r="7" spans="1:9" ht="15.6" x14ac:dyDescent="0.3">
      <c r="A7" s="4" t="s">
        <v>19</v>
      </c>
      <c r="B7" s="6" t="s">
        <v>44</v>
      </c>
      <c r="C7" s="6" t="str" cm="1">
        <f t="array" ref="C7">_xlfn.IFS(TRIM(B7)="Sunshine Coast","Sunshine Coast Council",TRIM(B7)="Moreton Bay","City of Moreton Bay",TRIM(B7)="Gold Coast","City of Gold Coast",TRIM(B7)="Ipswich","Ipswich City Council",TRUE,"")</f>
        <v>City of Gold Coast</v>
      </c>
      <c r="D7" s="6" t="str" cm="1">
        <f t="array" ref="D7">_xlfn.IFS(TRIM(B7)="Sunshine Coast", "Environmental Risk (ERA 12 Plastic Processing)", TRIM(B7)="Moreton Bay", "Industrial Operations Risk", TRIM(B7)="Gold Coast", "Logistics &amp; Supply Chain Risk", TRIM(B7)="Ipswich", "Manufacturing Zoning Risk", TRUE, "")</f>
        <v>Logistics &amp; Supply Chain Risk</v>
      </c>
      <c r="E7" s="6" t="str" cm="1">
        <f t="array" ref="E7">_xlfn.IFS(TRIM(B7)="Sunshine Coast", "Operation Clean Sweep Audit &amp; Daily Machinery Safety Gate Verification", TRIM(B7)="Moreton Bay", "WHS Incident Log &amp; Heavy Equipment Check", TRIM(B7)="Gold Coast", "Transport Fatigue &amp; Loading Bay Audit", TRIM(B7)="Ipswich", "Council Trade Waste Permit Validation", TRUE, "")</f>
        <v>Transport Fatigue &amp; Loading Bay Audit</v>
      </c>
      <c r="F7" s="6" t="str" cm="1">
        <f t="array" ref="F7">_xlfn.IFS(TRIM(B7)="Sunshine Coast", "Zero-loss stormwater filtration &amp; chemical containment zones", TRIM(B7)="Moreton Bay", "Machinery isolation guards &amp; mandatory PPE enforcement", TRIM(B7)="Gold Coast", "Distribution logbook validation &amp; freight rest tracking", TRIM(B7)="Ipswich", "Industrial trade effluent testing &amp; zoning layout verification", TRUE, "")</f>
        <v>Distribution logbook validation &amp; freight rest tracking</v>
      </c>
      <c r="G7" s="6" t="str" cm="1">
        <f t="array" ref="G7">_xlfn.IFS(TRIM(B7)="Sunshine Coast", "DESI Industrial Licenses / MS Loop WHS Folder", TRIM(B7)="Moreton Bay", "WorkSafe QLD / Loop Incident Page", TRIM(B7)="Gold Coast", "QLD Transport Regs / Loop Commute Log", TRIM(B7)="Ipswich", "Ipswich City Council Bylaws / Loop Master Register", TRUE, "")</f>
        <v>QLD Transport Regs / Loop Commute Log</v>
      </c>
    </row>
    <row r="8" spans="1:9" ht="15.6" x14ac:dyDescent="0.3">
      <c r="A8" s="4" t="s">
        <v>36</v>
      </c>
      <c r="B8" s="6" t="s">
        <v>45</v>
      </c>
      <c r="C8" s="6" t="str" cm="1">
        <f t="array" ref="C8">_xlfn.IFS(TRIM(B8)="Sunshine Coast","Sunshine Coast Council",TRIM(B8)="Moreton Bay","City of Moreton Bay",TRIM(B8)="Gold Coast","City of Gold Coast",TRIM(B8)="Ipswich","Ipswich City Council",TRUE,"")</f>
        <v>City of Moreton Bay</v>
      </c>
      <c r="D8" s="6" t="str" cm="1">
        <f t="array" ref="D8">_xlfn.IFS(TRIM(B8)="Sunshine Coast", "Environmental Risk (ERA 12 Plastic Processing)", TRIM(B8)="Moreton Bay", "Industrial Operations Risk", TRIM(B8)="Gold Coast", "Logistics &amp; Supply Chain Risk", TRIM(B8)="Ipswich", "Manufacturing Zoning Risk", TRUE, "")</f>
        <v>Industrial Operations Risk</v>
      </c>
      <c r="E8" s="6" t="str" cm="1">
        <f t="array" ref="E8">_xlfn.IFS(TRIM(B8)="Sunshine Coast", "Operation Clean Sweep Audit &amp; Daily Machinery Safety Gate Verification", TRIM(B8)="Moreton Bay", "WHS Incident Log &amp; Heavy Equipment Check", TRIM(B8)="Gold Coast", "Transport Fatigue &amp; Loading Bay Audit", TRIM(B8)="Ipswich", "Council Trade Waste Permit Validation", TRUE, "")</f>
        <v>WHS Incident Log &amp; Heavy Equipment Check</v>
      </c>
      <c r="F8" s="6" t="str" cm="1">
        <f t="array" ref="F8">_xlfn.IFS(TRIM(B8)="Sunshine Coast", "Zero-loss stormwater filtration &amp; chemical containment zones", TRIM(B8)="Moreton Bay", "Machinery isolation guards &amp; mandatory PPE enforcement", TRIM(B8)="Gold Coast", "Distribution logbook validation &amp; freight rest tracking", TRIM(B8)="Ipswich", "Industrial trade effluent testing &amp; zoning layout verification", TRUE, "")</f>
        <v>Machinery isolation guards &amp; mandatory PPE enforcement</v>
      </c>
      <c r="G8" s="6" t="str" cm="1">
        <f t="array" ref="G8">_xlfn.IFS(TRIM(B8)="Sunshine Coast", "DESI Industrial Licenses / MS Loop WHS Folder", TRIM(B8)="Moreton Bay", "WorkSafe QLD / Loop Incident Page", TRIM(B8)="Gold Coast", "QLD Transport Regs / Loop Commute Log", TRIM(B8)="Ipswich", "Ipswich City Council Bylaws / Loop Master Register", TRUE, "")</f>
        <v>WorkSafe QLD / Loop Incident Page</v>
      </c>
    </row>
    <row r="9" spans="1:9" ht="15" x14ac:dyDescent="0.3">
      <c r="A9" s="2" t="s">
        <v>47</v>
      </c>
      <c r="B9" s="5" t="s">
        <v>43</v>
      </c>
      <c r="C9" s="6" t="str" cm="1">
        <f t="array" ref="C9">_xlfn.IFS(TRIM(B9)="Sunshine Coast","Sunshine Coast Council",TRIM(B9)="Moreton Bay","City of Moreton Bay",TRIM(B9)="Gold Coast","City of Gold Coast",TRIM(B9)="Ipswich","Ipswich City Council",TRUE,"")</f>
        <v>Sunshine Coast Council</v>
      </c>
      <c r="D9" s="6" t="str" cm="1">
        <f t="array" ref="D9">_xlfn.IFS(TRIM(B9)="Sunshine Coast", "Environmental Risk (ERA 12 Plastic Processing)", TRIM(B9)="Moreton Bay", "Industrial Operations Risk", TRIM(B9)="Gold Coast", "Logistics &amp; Supply Chain Risk", TRIM(B9)="Ipswich", "Manufacturing Zoning Risk", TRUE, "")</f>
        <v>Environmental Risk (ERA 12 Plastic Processing)</v>
      </c>
      <c r="E9" s="6" t="str" cm="1">
        <f t="array" ref="E9">_xlfn.IFS(TRIM(B9)="Sunshine Coast", "Operation Clean Sweep Audit &amp; Daily Machinery Safety Gate Verification", TRIM(B9)="Moreton Bay", "WHS Incident Log &amp; Heavy Equipment Check", TRIM(B9)="Gold Coast", "Transport Fatigue &amp; Loading Bay Audit", TRIM(B9)="Ipswich", "Council Trade Waste Permit Validation", TRUE, "")</f>
        <v>Operation Clean Sweep Audit &amp; Daily Machinery Safety Gate Verification</v>
      </c>
      <c r="F9" s="6" t="str" cm="1">
        <f t="array" ref="F9">_xlfn.IFS(TRIM(B9)="Sunshine Coast", "Zero-loss stormwater filtration &amp; chemical containment zones", TRIM(B9)="Moreton Bay", "Machinery isolation guards &amp; mandatory PPE enforcement", TRIM(B9)="Gold Coast", "Distribution logbook validation &amp; freight rest tracking", TRIM(B9)="Ipswich", "Industrial trade effluent testing &amp; zoning layout verification", TRUE, "")</f>
        <v>Zero-loss stormwater filtration &amp; chemical containment zones</v>
      </c>
      <c r="G9" s="6" t="str" cm="1">
        <f t="array" ref="G9">_xlfn.IFS(TRIM(B9)="Sunshine Coast", "DESI Industrial Licenses / MS Loop WHS Folder", TRIM(B9)="Moreton Bay", "WorkSafe QLD / Loop Incident Page", TRIM(B9)="Gold Coast", "QLD Transport Regs / Loop Commute Log", TRIM(B9)="Ipswich", "Ipswich City Council Bylaws / Loop Master Register", TRUE, "")</f>
        <v>DESI Industrial Licenses / MS Loop WHS Folder</v>
      </c>
    </row>
    <row r="10" spans="1:9" ht="15" x14ac:dyDescent="0.3">
      <c r="A10" s="3" t="s">
        <v>5</v>
      </c>
      <c r="B10" s="6" t="s">
        <v>43</v>
      </c>
      <c r="C10" s="6" t="str" cm="1">
        <f t="array" ref="C10">_xlfn.IFS(TRIM(B10)="Sunshine Coast","Sunshine Coast Council",TRIM(B10)="Moreton Bay","City of Moreton Bay",TRIM(B10)="Gold Coast","City of Gold Coast",TRIM(B10)="Ipswich","Ipswich City Council",TRUE,"")</f>
        <v>Sunshine Coast Council</v>
      </c>
      <c r="D10" s="6" t="str" cm="1">
        <f t="array" ref="D10">_xlfn.IFS(TRIM(B10)="Sunshine Coast", "Environmental Risk (ERA 12 Plastic Processing)", TRIM(B10)="Moreton Bay", "Industrial Operations Risk", TRIM(B10)="Gold Coast", "Logistics &amp; Supply Chain Risk", TRIM(B10)="Ipswich", "Manufacturing Zoning Risk", TRUE, "")</f>
        <v>Environmental Risk (ERA 12 Plastic Processing)</v>
      </c>
      <c r="E10" s="6" t="str" cm="1">
        <f t="array" ref="E10">_xlfn.IFS(TRIM(B10)="Sunshine Coast", "Operation Clean Sweep Audit &amp; Daily Machinery Safety Gate Verification", TRIM(B10)="Moreton Bay", "WHS Incident Log &amp; Heavy Equipment Check", TRIM(B10)="Gold Coast", "Transport Fatigue &amp; Loading Bay Audit", TRIM(B10)="Ipswich", "Council Trade Waste Permit Validation", TRUE, "")</f>
        <v>Operation Clean Sweep Audit &amp; Daily Machinery Safety Gate Verification</v>
      </c>
      <c r="F10" s="6" t="str" cm="1">
        <f t="array" ref="F10">_xlfn.IFS(TRIM(B10)="Sunshine Coast", "Zero-loss stormwater filtration &amp; chemical containment zones", TRIM(B10)="Moreton Bay", "Machinery isolation guards &amp; mandatory PPE enforcement", TRIM(B10)="Gold Coast", "Distribution logbook validation &amp; freight rest tracking", TRIM(B10)="Ipswich", "Industrial trade effluent testing &amp; zoning layout verification", TRUE, "")</f>
        <v>Zero-loss stormwater filtration &amp; chemical containment zones</v>
      </c>
      <c r="G10" s="6" t="str" cm="1">
        <f t="array" ref="G10">_xlfn.IFS(TRIM(B10)="Sunshine Coast", "DESI Industrial Licenses / MS Loop WHS Folder", TRIM(B10)="Moreton Bay", "WorkSafe QLD / Loop Incident Page", TRIM(B10)="Gold Coast", "QLD Transport Regs / Loop Commute Log", TRIM(B10)="Ipswich", "Ipswich City Council Bylaws / Loop Master Register", TRUE, "")</f>
        <v>DESI Industrial Licenses / MS Loop WHS Folder</v>
      </c>
    </row>
    <row r="11" spans="1:9" ht="15" x14ac:dyDescent="0.3">
      <c r="A11" s="3" t="s">
        <v>1</v>
      </c>
      <c r="B11" s="6" t="s">
        <v>43</v>
      </c>
      <c r="C11" s="6" t="str" cm="1">
        <f t="array" ref="C11">_xlfn.IFS(TRIM(B11)="Sunshine Coast","Sunshine Coast Council",TRIM(B11)="Moreton Bay","City of Moreton Bay",TRIM(B11)="Gold Coast","City of Gold Coast",TRIM(B11)="Ipswich","Ipswich City Council",TRUE,"")</f>
        <v>Sunshine Coast Council</v>
      </c>
      <c r="D11" s="6" t="str" cm="1">
        <f t="array" ref="D11">_xlfn.IFS(TRIM(B11)="Sunshine Coast", "Environmental Risk (ERA 12 Plastic Processing)", TRIM(B11)="Moreton Bay", "Industrial Operations Risk", TRIM(B11)="Gold Coast", "Logistics &amp; Supply Chain Risk", TRIM(B11)="Ipswich", "Manufacturing Zoning Risk", TRUE, "")</f>
        <v>Environmental Risk (ERA 12 Plastic Processing)</v>
      </c>
      <c r="E11" s="6" t="str" cm="1">
        <f t="array" ref="E11">_xlfn.IFS(TRIM(B11)="Sunshine Coast", "Operation Clean Sweep Audit &amp; Daily Machinery Safety Gate Verification", TRIM(B11)="Moreton Bay", "WHS Incident Log &amp; Heavy Equipment Check", TRIM(B11)="Gold Coast", "Transport Fatigue &amp; Loading Bay Audit", TRIM(B11)="Ipswich", "Council Trade Waste Permit Validation", TRUE, "")</f>
        <v>Operation Clean Sweep Audit &amp; Daily Machinery Safety Gate Verification</v>
      </c>
      <c r="F11" s="6" t="str" cm="1">
        <f t="array" ref="F11">_xlfn.IFS(TRIM(B11)="Sunshine Coast", "Zero-loss stormwater filtration &amp; chemical containment zones", TRIM(B11)="Moreton Bay", "Machinery isolation guards &amp; mandatory PPE enforcement", TRIM(B11)="Gold Coast", "Distribution logbook validation &amp; freight rest tracking", TRIM(B11)="Ipswich", "Industrial trade effluent testing &amp; zoning layout verification", TRUE, "")</f>
        <v>Zero-loss stormwater filtration &amp; chemical containment zones</v>
      </c>
      <c r="G11" s="6" t="str" cm="1">
        <f t="array" ref="G11">_xlfn.IFS(TRIM(B11)="Sunshine Coast", "DESI Industrial Licenses / MS Loop WHS Folder", TRIM(B11)="Moreton Bay", "WorkSafe QLD / Loop Incident Page", TRIM(B11)="Gold Coast", "QLD Transport Regs / Loop Commute Log", TRIM(B11)="Ipswich", "Ipswich City Council Bylaws / Loop Master Register", TRUE, "")</f>
        <v>DESI Industrial Licenses / MS Loop WHS Folder</v>
      </c>
    </row>
    <row r="12" spans="1:9" ht="15.6" x14ac:dyDescent="0.3">
      <c r="A12" s="4" t="s">
        <v>21</v>
      </c>
      <c r="B12" s="6" t="s">
        <v>44</v>
      </c>
      <c r="C12" s="6" t="str" cm="1">
        <f t="array" ref="C12">_xlfn.IFS(TRIM(B12)="Sunshine Coast","Sunshine Coast Council",TRIM(B12)="Moreton Bay","City of Moreton Bay",TRIM(B12)="Gold Coast","City of Gold Coast",TRIM(B12)="Ipswich","Ipswich City Council",TRUE,"")</f>
        <v>City of Gold Coast</v>
      </c>
      <c r="D12" s="6" t="str" cm="1">
        <f t="array" ref="D12">_xlfn.IFS(TRIM(B12)="Sunshine Coast", "Environmental Risk (ERA 12 Plastic Processing)", TRIM(B12)="Moreton Bay", "Industrial Operations Risk", TRIM(B12)="Gold Coast", "Logistics &amp; Supply Chain Risk", TRIM(B12)="Ipswich", "Manufacturing Zoning Risk", TRUE, "")</f>
        <v>Logistics &amp; Supply Chain Risk</v>
      </c>
      <c r="E12" s="6" t="str" cm="1">
        <f t="array" ref="E12">_xlfn.IFS(TRIM(B12)="Sunshine Coast", "Operation Clean Sweep Audit &amp; Daily Machinery Safety Gate Verification", TRIM(B12)="Moreton Bay", "WHS Incident Log &amp; Heavy Equipment Check", TRIM(B12)="Gold Coast", "Transport Fatigue &amp; Loading Bay Audit", TRIM(B12)="Ipswich", "Council Trade Waste Permit Validation", TRUE, "")</f>
        <v>Transport Fatigue &amp; Loading Bay Audit</v>
      </c>
      <c r="F12" s="6" t="str" cm="1">
        <f t="array" ref="F12">_xlfn.IFS(TRIM(B12)="Sunshine Coast", "Zero-loss stormwater filtration &amp; chemical containment zones", TRIM(B12)="Moreton Bay", "Machinery isolation guards &amp; mandatory PPE enforcement", TRIM(B12)="Gold Coast", "Distribution logbook validation &amp; freight rest tracking", TRIM(B12)="Ipswich", "Industrial trade effluent testing &amp; zoning layout verification", TRUE, "")</f>
        <v>Distribution logbook validation &amp; freight rest tracking</v>
      </c>
      <c r="G12" s="6" t="str" cm="1">
        <f t="array" ref="G12">_xlfn.IFS(TRIM(B12)="Sunshine Coast", "DESI Industrial Licenses / MS Loop WHS Folder", TRIM(B12)="Moreton Bay", "WorkSafe QLD / Loop Incident Page", TRIM(B12)="Gold Coast", "QLD Transport Regs / Loop Commute Log", TRIM(B12)="Ipswich", "Ipswich City Council Bylaws / Loop Master Register", TRUE, "")</f>
        <v>QLD Transport Regs / Loop Commute Log</v>
      </c>
    </row>
    <row r="13" spans="1:9" ht="15.6" x14ac:dyDescent="0.3">
      <c r="A13" s="4" t="s">
        <v>20</v>
      </c>
      <c r="B13" s="6" t="s">
        <v>44</v>
      </c>
      <c r="C13" s="6" t="str" cm="1">
        <f t="array" ref="C13">_xlfn.IFS(TRIM(B13)="Sunshine Coast","Sunshine Coast Council",TRIM(B13)="Moreton Bay","City of Moreton Bay",TRIM(B13)="Gold Coast","City of Gold Coast",TRIM(B13)="Ipswich","Ipswich City Council",TRUE,"")</f>
        <v>City of Gold Coast</v>
      </c>
      <c r="D13" s="6" t="str" cm="1">
        <f t="array" ref="D13">_xlfn.IFS(TRIM(B13)="Sunshine Coast", "Environmental Risk (ERA 12 Plastic Processing)", TRIM(B13)="Moreton Bay", "Industrial Operations Risk", TRIM(B13)="Gold Coast", "Logistics &amp; Supply Chain Risk", TRIM(B13)="Ipswich", "Manufacturing Zoning Risk", TRUE, "")</f>
        <v>Logistics &amp; Supply Chain Risk</v>
      </c>
      <c r="E13" s="6" t="str" cm="1">
        <f t="array" ref="E13">_xlfn.IFS(TRIM(B13)="Sunshine Coast", "Operation Clean Sweep Audit &amp; Daily Machinery Safety Gate Verification", TRIM(B13)="Moreton Bay", "WHS Incident Log &amp; Heavy Equipment Check", TRIM(B13)="Gold Coast", "Transport Fatigue &amp; Loading Bay Audit", TRIM(B13)="Ipswich", "Council Trade Waste Permit Validation", TRUE, "")</f>
        <v>Transport Fatigue &amp; Loading Bay Audit</v>
      </c>
      <c r="F13" s="6" t="str" cm="1">
        <f t="array" ref="F13">_xlfn.IFS(TRIM(B13)="Sunshine Coast", "Zero-loss stormwater filtration &amp; chemical containment zones", TRIM(B13)="Moreton Bay", "Machinery isolation guards &amp; mandatory PPE enforcement", TRIM(B13)="Gold Coast", "Distribution logbook validation &amp; freight rest tracking", TRIM(B13)="Ipswich", "Industrial trade effluent testing &amp; zoning layout verification", TRUE, "")</f>
        <v>Distribution logbook validation &amp; freight rest tracking</v>
      </c>
      <c r="G13" s="6" t="str" cm="1">
        <f t="array" ref="G13">_xlfn.IFS(TRIM(B13)="Sunshine Coast", "DESI Industrial Licenses / MS Loop WHS Folder", TRIM(B13)="Moreton Bay", "WorkSafe QLD / Loop Incident Page", TRIM(B13)="Gold Coast", "QLD Transport Regs / Loop Commute Log", TRIM(B13)="Ipswich", "Ipswich City Council Bylaws / Loop Master Register", TRUE, "")</f>
        <v>QLD Transport Regs / Loop Commute Log</v>
      </c>
    </row>
    <row r="14" spans="1:9" ht="15.6" x14ac:dyDescent="0.3">
      <c r="A14" s="4" t="s">
        <v>46</v>
      </c>
      <c r="B14" s="6" t="s">
        <v>38</v>
      </c>
      <c r="C14" s="6" t="str" cm="1">
        <f t="array" ref="C14">_xlfn.IFS(TRIM(B14)="Sunshine Coast","Sunshine Coast Council",TRIM(B14)="Moreton Bay","City of Moreton Bay",TRIM(B14)="Gold Coast","City of Gold Coast",TRIM(B14)="Ipswich","Ipswich City Council",TRUE,"")</f>
        <v>Ipswich City Council</v>
      </c>
      <c r="D14" s="6" t="str" cm="1">
        <f t="array" ref="D14">_xlfn.IFS(TRIM(B14)="Sunshine Coast", "Environmental Risk (ERA 12 Plastic Processing)", TRIM(B14)="Moreton Bay", "Industrial Operations Risk", TRIM(B14)="Gold Coast", "Logistics &amp; Supply Chain Risk", TRIM(B14)="Ipswich", "Manufacturing Zoning Risk", TRUE, "")</f>
        <v>Manufacturing Zoning Risk</v>
      </c>
      <c r="E14" s="6" t="str" cm="1">
        <f t="array" ref="E14">_xlfn.IFS(TRIM(B14)="Sunshine Coast", "Operation Clean Sweep Audit &amp; Daily Machinery Safety Gate Verification", TRIM(B14)="Moreton Bay", "WHS Incident Log &amp; Heavy Equipment Check", TRIM(B14)="Gold Coast", "Transport Fatigue &amp; Loading Bay Audit", TRIM(B14)="Ipswich", "Council Trade Waste Permit Validation", TRUE, "")</f>
        <v>Council Trade Waste Permit Validation</v>
      </c>
      <c r="F14" s="6" t="str" cm="1">
        <f t="array" ref="F14">_xlfn.IFS(TRIM(B14)="Sunshine Coast", "Zero-loss stormwater filtration &amp; chemical containment zones", TRIM(B14)="Moreton Bay", "Machinery isolation guards &amp; mandatory PPE enforcement", TRIM(B14)="Gold Coast", "Distribution logbook validation &amp; freight rest tracking", TRIM(B14)="Ipswich", "Industrial trade effluent testing &amp; zoning layout verification", TRUE, "")</f>
        <v>Industrial trade effluent testing &amp; zoning layout verification</v>
      </c>
      <c r="G14" s="6" t="str" cm="1">
        <f t="array" ref="G14">_xlfn.IFS(TRIM(B14)="Sunshine Coast", "DESI Industrial Licenses / MS Loop WHS Folder", TRIM(B14)="Moreton Bay", "WorkSafe QLD / Loop Incident Page", TRIM(B14)="Gold Coast", "QLD Transport Regs / Loop Commute Log", TRIM(B14)="Ipswich", "Ipswich City Council Bylaws / Loop Master Register", TRUE, "")</f>
        <v>Ipswich City Council Bylaws / Loop Master Register</v>
      </c>
    </row>
    <row r="15" spans="1:9" ht="15.6" x14ac:dyDescent="0.3">
      <c r="A15" s="4" t="s">
        <v>30</v>
      </c>
      <c r="B15" s="6" t="s">
        <v>45</v>
      </c>
      <c r="C15" s="6" t="str" cm="1">
        <f t="array" ref="C15">_xlfn.IFS(TRIM(B15)="Sunshine Coast","Sunshine Coast Council",TRIM(B15)="Moreton Bay","City of Moreton Bay",TRIM(B15)="Gold Coast","City of Gold Coast",TRIM(B15)="Ipswich","Ipswich City Council",TRUE,"")</f>
        <v>City of Moreton Bay</v>
      </c>
      <c r="D15" s="6" t="str" cm="1">
        <f t="array" ref="D15">_xlfn.IFS(TRIM(B15)="Sunshine Coast", "Environmental Risk (ERA 12 Plastic Processing)", TRIM(B15)="Moreton Bay", "Industrial Operations Risk", TRIM(B15)="Gold Coast", "Logistics &amp; Supply Chain Risk", TRIM(B15)="Ipswich", "Manufacturing Zoning Risk", TRUE, "")</f>
        <v>Industrial Operations Risk</v>
      </c>
      <c r="E15" s="6" t="str" cm="1">
        <f t="array" ref="E15">_xlfn.IFS(TRIM(B15)="Sunshine Coast", "Operation Clean Sweep Audit &amp; Daily Machinery Safety Gate Verification", TRIM(B15)="Moreton Bay", "WHS Incident Log &amp; Heavy Equipment Check", TRIM(B15)="Gold Coast", "Transport Fatigue &amp; Loading Bay Audit", TRIM(B15)="Ipswich", "Council Trade Waste Permit Validation", TRUE, "")</f>
        <v>WHS Incident Log &amp; Heavy Equipment Check</v>
      </c>
      <c r="F15" s="6" t="str" cm="1">
        <f t="array" ref="F15">_xlfn.IFS(TRIM(B15)="Sunshine Coast", "Zero-loss stormwater filtration &amp; chemical containment zones", TRIM(B15)="Moreton Bay", "Machinery isolation guards &amp; mandatory PPE enforcement", TRIM(B15)="Gold Coast", "Distribution logbook validation &amp; freight rest tracking", TRIM(B15)="Ipswich", "Industrial trade effluent testing &amp; zoning layout verification", TRUE, "")</f>
        <v>Machinery isolation guards &amp; mandatory PPE enforcement</v>
      </c>
      <c r="G15" s="6" t="str" cm="1">
        <f t="array" ref="G15">_xlfn.IFS(TRIM(B15)="Sunshine Coast", "DESI Industrial Licenses / MS Loop WHS Folder", TRIM(B15)="Moreton Bay", "WorkSafe QLD / Loop Incident Page", TRIM(B15)="Gold Coast", "QLD Transport Regs / Loop Commute Log", TRIM(B15)="Ipswich", "Ipswich City Council Bylaws / Loop Master Register", TRUE, "")</f>
        <v>WorkSafe QLD / Loop Incident Page</v>
      </c>
    </row>
    <row r="16" spans="1:9" ht="15.6" x14ac:dyDescent="0.3">
      <c r="A16" s="4" t="s">
        <v>25</v>
      </c>
      <c r="B16" s="6" t="s">
        <v>45</v>
      </c>
      <c r="C16" s="6" t="str" cm="1">
        <f t="array" ref="C16">_xlfn.IFS(TRIM(B16)="Sunshine Coast","Sunshine Coast Council",TRIM(B16)="Moreton Bay","City of Moreton Bay",TRIM(B16)="Gold Coast","City of Gold Coast",TRIM(B16)="Ipswich","Ipswich City Council",TRUE,"")</f>
        <v>City of Moreton Bay</v>
      </c>
      <c r="D16" s="6" t="str" cm="1">
        <f t="array" ref="D16">_xlfn.IFS(TRIM(B16)="Sunshine Coast", "Environmental Risk (ERA 12 Plastic Processing)", TRIM(B16)="Moreton Bay", "Industrial Operations Risk", TRIM(B16)="Gold Coast", "Logistics &amp; Supply Chain Risk", TRIM(B16)="Ipswich", "Manufacturing Zoning Risk", TRUE, "")</f>
        <v>Industrial Operations Risk</v>
      </c>
      <c r="E16" s="6" t="str" cm="1">
        <f t="array" ref="E16">_xlfn.IFS(TRIM(B16)="Sunshine Coast", "Operation Clean Sweep Audit &amp; Daily Machinery Safety Gate Verification", TRIM(B16)="Moreton Bay", "WHS Incident Log &amp; Heavy Equipment Check", TRIM(B16)="Gold Coast", "Transport Fatigue &amp; Loading Bay Audit", TRIM(B16)="Ipswich", "Council Trade Waste Permit Validation", TRUE, "")</f>
        <v>WHS Incident Log &amp; Heavy Equipment Check</v>
      </c>
      <c r="F16" s="6" t="str" cm="1">
        <f t="array" ref="F16">_xlfn.IFS(TRIM(B16)="Sunshine Coast", "Zero-loss stormwater filtration &amp; chemical containment zones", TRIM(B16)="Moreton Bay", "Machinery isolation guards &amp; mandatory PPE enforcement", TRIM(B16)="Gold Coast", "Distribution logbook validation &amp; freight rest tracking", TRIM(B16)="Ipswich", "Industrial trade effluent testing &amp; zoning layout verification", TRUE, "")</f>
        <v>Machinery isolation guards &amp; mandatory PPE enforcement</v>
      </c>
      <c r="G16" s="6" t="str" cm="1">
        <f t="array" ref="G16">_xlfn.IFS(TRIM(B16)="Sunshine Coast", "DESI Industrial Licenses / MS Loop WHS Folder", TRIM(B16)="Moreton Bay", "WorkSafe QLD / Loop Incident Page", TRIM(B16)="Gold Coast", "QLD Transport Regs / Loop Commute Log", TRIM(B16)="Ipswich", "Ipswich City Council Bylaws / Loop Master Register", TRUE, "")</f>
        <v>WorkSafe QLD / Loop Incident Page</v>
      </c>
    </row>
    <row r="17" spans="1:7" ht="15" x14ac:dyDescent="0.3">
      <c r="A17" s="3" t="s">
        <v>3</v>
      </c>
      <c r="B17" s="6" t="s">
        <v>43</v>
      </c>
      <c r="C17" s="6" t="str" cm="1">
        <f t="array" ref="C17">_xlfn.IFS(TRIM(B17)="Sunshine Coast","Sunshine Coast Council",TRIM(B17)="Moreton Bay","City of Moreton Bay",TRIM(B17)="Gold Coast","City of Gold Coast",TRIM(B17)="Ipswich","Ipswich City Council",TRUE,"")</f>
        <v>Sunshine Coast Council</v>
      </c>
      <c r="D17" s="6" t="str" cm="1">
        <f t="array" ref="D17">_xlfn.IFS(TRIM(B17)="Sunshine Coast", "Environmental Risk (ERA 12 Plastic Processing)", TRIM(B17)="Moreton Bay", "Industrial Operations Risk", TRIM(B17)="Gold Coast", "Logistics &amp; Supply Chain Risk", TRIM(B17)="Ipswich", "Manufacturing Zoning Risk", TRUE, "")</f>
        <v>Environmental Risk (ERA 12 Plastic Processing)</v>
      </c>
      <c r="E17" s="6" t="str" cm="1">
        <f t="array" ref="E17">_xlfn.IFS(TRIM(B17)="Sunshine Coast", "Operation Clean Sweep Audit &amp; Daily Machinery Safety Gate Verification", TRIM(B17)="Moreton Bay", "WHS Incident Log &amp; Heavy Equipment Check", TRIM(B17)="Gold Coast", "Transport Fatigue &amp; Loading Bay Audit", TRIM(B17)="Ipswich", "Council Trade Waste Permit Validation", TRUE, "")</f>
        <v>Operation Clean Sweep Audit &amp; Daily Machinery Safety Gate Verification</v>
      </c>
      <c r="F17" s="6" t="str" cm="1">
        <f t="array" ref="F17">_xlfn.IFS(TRIM(B17)="Sunshine Coast", "Zero-loss stormwater filtration &amp; chemical containment zones", TRIM(B17)="Moreton Bay", "Machinery isolation guards &amp; mandatory PPE enforcement", TRIM(B17)="Gold Coast", "Distribution logbook validation &amp; freight rest tracking", TRIM(B17)="Ipswich", "Industrial trade effluent testing &amp; zoning layout verification", TRUE, "")</f>
        <v>Zero-loss stormwater filtration &amp; chemical containment zones</v>
      </c>
      <c r="G17" s="6" t="str" cm="1">
        <f t="array" ref="G17">_xlfn.IFS(TRIM(B17)="Sunshine Coast", "DESI Industrial Licenses / MS Loop WHS Folder", TRIM(B17)="Moreton Bay", "WorkSafe QLD / Loop Incident Page", TRIM(B17)="Gold Coast", "QLD Transport Regs / Loop Commute Log", TRIM(B17)="Ipswich", "Ipswich City Council Bylaws / Loop Master Register", TRUE, "")</f>
        <v>DESI Industrial Licenses / MS Loop WHS Folder</v>
      </c>
    </row>
    <row r="18" spans="1:7" ht="15.6" x14ac:dyDescent="0.3">
      <c r="A18" s="4" t="s">
        <v>27</v>
      </c>
      <c r="B18" s="6" t="s">
        <v>45</v>
      </c>
      <c r="C18" s="6" t="str" cm="1">
        <f t="array" ref="C18">_xlfn.IFS(TRIM(B18)="Sunshine Coast","Sunshine Coast Council",TRIM(B18)="Moreton Bay","City of Moreton Bay",TRIM(B18)="Gold Coast","City of Gold Coast",TRIM(B18)="Ipswich","Ipswich City Council",TRUE,"")</f>
        <v>City of Moreton Bay</v>
      </c>
      <c r="D18" s="6" t="str" cm="1">
        <f t="array" ref="D18">_xlfn.IFS(TRIM(B18)="Sunshine Coast", "Environmental Risk (ERA 12 Plastic Processing)", TRIM(B18)="Moreton Bay", "Industrial Operations Risk", TRIM(B18)="Gold Coast", "Logistics &amp; Supply Chain Risk", TRIM(B18)="Ipswich", "Manufacturing Zoning Risk", TRUE, "")</f>
        <v>Industrial Operations Risk</v>
      </c>
      <c r="E18" s="6" t="str" cm="1">
        <f t="array" ref="E18">_xlfn.IFS(TRIM(B18)="Sunshine Coast", "Operation Clean Sweep Audit &amp; Daily Machinery Safety Gate Verification", TRIM(B18)="Moreton Bay", "WHS Incident Log &amp; Heavy Equipment Check", TRIM(B18)="Gold Coast", "Transport Fatigue &amp; Loading Bay Audit", TRIM(B18)="Ipswich", "Council Trade Waste Permit Validation", TRUE, "")</f>
        <v>WHS Incident Log &amp; Heavy Equipment Check</v>
      </c>
      <c r="F18" s="6" t="str" cm="1">
        <f t="array" ref="F18">_xlfn.IFS(TRIM(B18)="Sunshine Coast", "Zero-loss stormwater filtration &amp; chemical containment zones", TRIM(B18)="Moreton Bay", "Machinery isolation guards &amp; mandatory PPE enforcement", TRIM(B18)="Gold Coast", "Distribution logbook validation &amp; freight rest tracking", TRIM(B18)="Ipswich", "Industrial trade effluent testing &amp; zoning layout verification", TRUE, "")</f>
        <v>Machinery isolation guards &amp; mandatory PPE enforcement</v>
      </c>
      <c r="G18" s="6" t="str" cm="1">
        <f t="array" ref="G18">_xlfn.IFS(TRIM(B18)="Sunshine Coast", "DESI Industrial Licenses / MS Loop WHS Folder", TRIM(B18)="Moreton Bay", "WorkSafe QLD / Loop Incident Page", TRIM(B18)="Gold Coast", "QLD Transport Regs / Loop Commute Log", TRIM(B18)="Ipswich", "Ipswich City Council Bylaws / Loop Master Register", TRUE, "")</f>
        <v>WorkSafe QLD / Loop Incident Page</v>
      </c>
    </row>
    <row r="19" spans="1:7" ht="15.6" x14ac:dyDescent="0.3">
      <c r="A19" s="4" t="s">
        <v>28</v>
      </c>
      <c r="B19" s="6" t="s">
        <v>45</v>
      </c>
      <c r="C19" s="6" t="str" cm="1">
        <f t="array" ref="C19">_xlfn.IFS(TRIM(B19)="Sunshine Coast","Sunshine Coast Council",TRIM(B19)="Moreton Bay","City of Moreton Bay",TRIM(B19)="Gold Coast","City of Gold Coast",TRIM(B19)="Ipswich","Ipswich City Council",TRUE,"")</f>
        <v>City of Moreton Bay</v>
      </c>
      <c r="D19" s="6" t="str" cm="1">
        <f t="array" ref="D19">_xlfn.IFS(TRIM(B19)="Sunshine Coast", "Environmental Risk (ERA 12 Plastic Processing)", TRIM(B19)="Moreton Bay", "Industrial Operations Risk", TRIM(B19)="Gold Coast", "Logistics &amp; Supply Chain Risk", TRIM(B19)="Ipswich", "Manufacturing Zoning Risk", TRUE, "")</f>
        <v>Industrial Operations Risk</v>
      </c>
      <c r="E19" s="6" t="str" cm="1">
        <f t="array" ref="E19">_xlfn.IFS(TRIM(B19)="Sunshine Coast", "Operation Clean Sweep Audit &amp; Daily Machinery Safety Gate Verification", TRIM(B19)="Moreton Bay", "WHS Incident Log &amp; Heavy Equipment Check", TRIM(B19)="Gold Coast", "Transport Fatigue &amp; Loading Bay Audit", TRIM(B19)="Ipswich", "Council Trade Waste Permit Validation", TRUE, "")</f>
        <v>WHS Incident Log &amp; Heavy Equipment Check</v>
      </c>
      <c r="F19" s="6" t="str" cm="1">
        <f t="array" ref="F19">_xlfn.IFS(TRIM(B19)="Sunshine Coast", "Zero-loss stormwater filtration &amp; chemical containment zones", TRIM(B19)="Moreton Bay", "Machinery isolation guards &amp; mandatory PPE enforcement", TRIM(B19)="Gold Coast", "Distribution logbook validation &amp; freight rest tracking", TRIM(B19)="Ipswich", "Industrial trade effluent testing &amp; zoning layout verification", TRUE, "")</f>
        <v>Machinery isolation guards &amp; mandatory PPE enforcement</v>
      </c>
      <c r="G19" s="6" t="str" cm="1">
        <f t="array" ref="G19">_xlfn.IFS(TRIM(B19)="Sunshine Coast", "DESI Industrial Licenses / MS Loop WHS Folder", TRIM(B19)="Moreton Bay", "WorkSafe QLD / Loop Incident Page", TRIM(B19)="Gold Coast", "QLD Transport Regs / Loop Commute Log", TRIM(B19)="Ipswich", "Ipswich City Council Bylaws / Loop Master Register", TRUE, "")</f>
        <v>WorkSafe QLD / Loop Incident Page</v>
      </c>
    </row>
    <row r="20" spans="1:7" ht="15" x14ac:dyDescent="0.3">
      <c r="A20" s="3" t="s">
        <v>4</v>
      </c>
      <c r="B20" s="6" t="s">
        <v>43</v>
      </c>
      <c r="C20" s="6" t="str" cm="1">
        <f t="array" ref="C20">_xlfn.IFS(TRIM(B20)="Sunshine Coast","Sunshine Coast Council",TRIM(B20)="Moreton Bay","City of Moreton Bay",TRIM(B20)="Gold Coast","City of Gold Coast",TRIM(B20)="Ipswich","Ipswich City Council",TRUE,"")</f>
        <v>Sunshine Coast Council</v>
      </c>
      <c r="D20" s="6" t="str" cm="1">
        <f t="array" ref="D20">_xlfn.IFS(TRIM(B20)="Sunshine Coast", "Environmental Risk (ERA 12 Plastic Processing)", TRIM(B20)="Moreton Bay", "Industrial Operations Risk", TRIM(B20)="Gold Coast", "Logistics &amp; Supply Chain Risk", TRIM(B20)="Ipswich", "Manufacturing Zoning Risk", TRUE, "")</f>
        <v>Environmental Risk (ERA 12 Plastic Processing)</v>
      </c>
      <c r="E20" s="6" t="str" cm="1">
        <f t="array" ref="E20">_xlfn.IFS(TRIM(B20)="Sunshine Coast", "Operation Clean Sweep Audit &amp; Daily Machinery Safety Gate Verification", TRIM(B20)="Moreton Bay", "WHS Incident Log &amp; Heavy Equipment Check", TRIM(B20)="Gold Coast", "Transport Fatigue &amp; Loading Bay Audit", TRIM(B20)="Ipswich", "Council Trade Waste Permit Validation", TRUE, "")</f>
        <v>Operation Clean Sweep Audit &amp; Daily Machinery Safety Gate Verification</v>
      </c>
      <c r="F20" s="6" t="str" cm="1">
        <f t="array" ref="F20">_xlfn.IFS(TRIM(B20)="Sunshine Coast", "Zero-loss stormwater filtration &amp; chemical containment zones", TRIM(B20)="Moreton Bay", "Machinery isolation guards &amp; mandatory PPE enforcement", TRIM(B20)="Gold Coast", "Distribution logbook validation &amp; freight rest tracking", TRIM(B20)="Ipswich", "Industrial trade effluent testing &amp; zoning layout verification", TRUE, "")</f>
        <v>Zero-loss stormwater filtration &amp; chemical containment zones</v>
      </c>
      <c r="G20" s="6" t="str" cm="1">
        <f t="array" ref="G20">_xlfn.IFS(TRIM(B20)="Sunshine Coast", "DESI Industrial Licenses / MS Loop WHS Folder", TRIM(B20)="Moreton Bay", "WorkSafe QLD / Loop Incident Page", TRIM(B20)="Gold Coast", "QLD Transport Regs / Loop Commute Log", TRIM(B20)="Ipswich", "Ipswich City Council Bylaws / Loop Master Register", TRUE, "")</f>
        <v>DESI Industrial Licenses / MS Loop WHS Folder</v>
      </c>
    </row>
    <row r="21" spans="1:7" ht="15.6" x14ac:dyDescent="0.3">
      <c r="A21" s="4" t="s">
        <v>33</v>
      </c>
      <c r="B21" s="6" t="s">
        <v>45</v>
      </c>
      <c r="C21" s="6" t="str" cm="1">
        <f t="array" ref="C21">_xlfn.IFS(TRIM(B21)="Sunshine Coast","Sunshine Coast Council",TRIM(B21)="Moreton Bay","City of Moreton Bay",TRIM(B21)="Gold Coast","City of Gold Coast",TRIM(B21)="Ipswich","Ipswich City Council",TRUE,"")</f>
        <v>City of Moreton Bay</v>
      </c>
      <c r="D21" s="6" t="str" cm="1">
        <f t="array" ref="D21">_xlfn.IFS(TRIM(B21)="Sunshine Coast", "Environmental Risk (ERA 12 Plastic Processing)", TRIM(B21)="Moreton Bay", "Industrial Operations Risk", TRIM(B21)="Gold Coast", "Logistics &amp; Supply Chain Risk", TRIM(B21)="Ipswich", "Manufacturing Zoning Risk", TRUE, "")</f>
        <v>Industrial Operations Risk</v>
      </c>
      <c r="E21" s="6" t="str" cm="1">
        <f t="array" ref="E21">_xlfn.IFS(TRIM(B21)="Sunshine Coast", "Operation Clean Sweep Audit &amp; Daily Machinery Safety Gate Verification", TRIM(B21)="Moreton Bay", "WHS Incident Log &amp; Heavy Equipment Check", TRIM(B21)="Gold Coast", "Transport Fatigue &amp; Loading Bay Audit", TRIM(B21)="Ipswich", "Council Trade Waste Permit Validation", TRUE, "")</f>
        <v>WHS Incident Log &amp; Heavy Equipment Check</v>
      </c>
      <c r="F21" s="6" t="str" cm="1">
        <f t="array" ref="F21">_xlfn.IFS(TRIM(B21)="Sunshine Coast", "Zero-loss stormwater filtration &amp; chemical containment zones", TRIM(B21)="Moreton Bay", "Machinery isolation guards &amp; mandatory PPE enforcement", TRIM(B21)="Gold Coast", "Distribution logbook validation &amp; freight rest tracking", TRIM(B21)="Ipswich", "Industrial trade effluent testing &amp; zoning layout verification", TRUE, "")</f>
        <v>Machinery isolation guards &amp; mandatory PPE enforcement</v>
      </c>
      <c r="G21" s="6" t="str" cm="1">
        <f t="array" ref="G21">_xlfn.IFS(TRIM(B21)="Sunshine Coast", "DESI Industrial Licenses / MS Loop WHS Folder", TRIM(B21)="Moreton Bay", "WorkSafe QLD / Loop Incident Page", TRIM(B21)="Gold Coast", "QLD Transport Regs / Loop Commute Log", TRIM(B21)="Ipswich", "Ipswich City Council Bylaws / Loop Master Register", TRUE, "")</f>
        <v>WorkSafe QLD / Loop Incident Page</v>
      </c>
    </row>
    <row r="22" spans="1:7" ht="15.6" x14ac:dyDescent="0.3">
      <c r="A22" s="4" t="s">
        <v>29</v>
      </c>
      <c r="B22" s="6" t="s">
        <v>45</v>
      </c>
      <c r="C22" s="6" t="str" cm="1">
        <f t="array" ref="C22">_xlfn.IFS(TRIM(B22)="Sunshine Coast","Sunshine Coast Council",TRIM(B22)="Moreton Bay","City of Moreton Bay",TRIM(B22)="Gold Coast","City of Gold Coast",TRIM(B22)="Ipswich","Ipswich City Council",TRUE,"")</f>
        <v>City of Moreton Bay</v>
      </c>
      <c r="D22" s="6" t="str" cm="1">
        <f t="array" ref="D22">_xlfn.IFS(TRIM(B22)="Sunshine Coast", "Environmental Risk (ERA 12 Plastic Processing)", TRIM(B22)="Moreton Bay", "Industrial Operations Risk", TRIM(B22)="Gold Coast", "Logistics &amp; Supply Chain Risk", TRIM(B22)="Ipswich", "Manufacturing Zoning Risk", TRUE, "")</f>
        <v>Industrial Operations Risk</v>
      </c>
      <c r="E22" s="6" t="str" cm="1">
        <f t="array" ref="E22">_xlfn.IFS(TRIM(B22)="Sunshine Coast", "Operation Clean Sweep Audit &amp; Daily Machinery Safety Gate Verification", TRIM(B22)="Moreton Bay", "WHS Incident Log &amp; Heavy Equipment Check", TRIM(B22)="Gold Coast", "Transport Fatigue &amp; Loading Bay Audit", TRIM(B22)="Ipswich", "Council Trade Waste Permit Validation", TRUE, "")</f>
        <v>WHS Incident Log &amp; Heavy Equipment Check</v>
      </c>
      <c r="F22" s="6" t="str" cm="1">
        <f t="array" ref="F22">_xlfn.IFS(TRIM(B22)="Sunshine Coast", "Zero-loss stormwater filtration &amp; chemical containment zones", TRIM(B22)="Moreton Bay", "Machinery isolation guards &amp; mandatory PPE enforcement", TRIM(B22)="Gold Coast", "Distribution logbook validation &amp; freight rest tracking", TRIM(B22)="Ipswich", "Industrial trade effluent testing &amp; zoning layout verification", TRUE, "")</f>
        <v>Machinery isolation guards &amp; mandatory PPE enforcement</v>
      </c>
      <c r="G22" s="6" t="str" cm="1">
        <f t="array" ref="G22">_xlfn.IFS(TRIM(B22)="Sunshine Coast", "DESI Industrial Licenses / MS Loop WHS Folder", TRIM(B22)="Moreton Bay", "WorkSafe QLD / Loop Incident Page", TRIM(B22)="Gold Coast", "QLD Transport Regs / Loop Commute Log", TRIM(B22)="Ipswich", "Ipswich City Council Bylaws / Loop Master Register", TRUE, "")</f>
        <v>WorkSafe QLD / Loop Incident Page</v>
      </c>
    </row>
    <row r="23" spans="1:7" ht="15" x14ac:dyDescent="0.3">
      <c r="A23" s="3" t="s">
        <v>8</v>
      </c>
      <c r="B23" s="6" t="s">
        <v>43</v>
      </c>
      <c r="C23" s="6" t="str" cm="1">
        <f t="array" ref="C23">_xlfn.IFS(TRIM(B23)="Sunshine Coast","Sunshine Coast Council",TRIM(B23)="Moreton Bay","City of Moreton Bay",TRIM(B23)="Gold Coast","City of Gold Coast",TRIM(B23)="Ipswich","Ipswich City Council",TRUE,"")</f>
        <v>Sunshine Coast Council</v>
      </c>
      <c r="D23" s="6" t="str" cm="1">
        <f t="array" ref="D23">_xlfn.IFS(TRIM(B23)="Sunshine Coast", "Environmental Risk (ERA 12 Plastic Processing)", TRIM(B23)="Moreton Bay", "Industrial Operations Risk", TRIM(B23)="Gold Coast", "Logistics &amp; Supply Chain Risk", TRIM(B23)="Ipswich", "Manufacturing Zoning Risk", TRUE, "")</f>
        <v>Environmental Risk (ERA 12 Plastic Processing)</v>
      </c>
      <c r="E23" s="6" t="str" cm="1">
        <f t="array" ref="E23">_xlfn.IFS(TRIM(B23)="Sunshine Coast", "Operation Clean Sweep Audit &amp; Daily Machinery Safety Gate Verification", TRIM(B23)="Moreton Bay", "WHS Incident Log &amp; Heavy Equipment Check", TRIM(B23)="Gold Coast", "Transport Fatigue &amp; Loading Bay Audit", TRIM(B23)="Ipswich", "Council Trade Waste Permit Validation", TRUE, "")</f>
        <v>Operation Clean Sweep Audit &amp; Daily Machinery Safety Gate Verification</v>
      </c>
      <c r="F23" s="6" t="str" cm="1">
        <f t="array" ref="F23">_xlfn.IFS(TRIM(B23)="Sunshine Coast", "Zero-loss stormwater filtration &amp; chemical containment zones", TRIM(B23)="Moreton Bay", "Machinery isolation guards &amp; mandatory PPE enforcement", TRIM(B23)="Gold Coast", "Distribution logbook validation &amp; freight rest tracking", TRIM(B23)="Ipswich", "Industrial trade effluent testing &amp; zoning layout verification", TRUE, "")</f>
        <v>Zero-loss stormwater filtration &amp; chemical containment zones</v>
      </c>
      <c r="G23" s="6" t="str" cm="1">
        <f t="array" ref="G23">_xlfn.IFS(TRIM(B23)="Sunshine Coast", "DESI Industrial Licenses / MS Loop WHS Folder", TRIM(B23)="Moreton Bay", "WorkSafe QLD / Loop Incident Page", TRIM(B23)="Gold Coast", "QLD Transport Regs / Loop Commute Log", TRIM(B23)="Ipswich", "Ipswich City Council Bylaws / Loop Master Register", TRUE, "")</f>
        <v>DESI Industrial Licenses / MS Loop WHS Folder</v>
      </c>
    </row>
    <row r="24" spans="1:7" ht="15.6" x14ac:dyDescent="0.3">
      <c r="A24" s="4" t="s">
        <v>35</v>
      </c>
      <c r="B24" s="6" t="s">
        <v>45</v>
      </c>
      <c r="C24" s="6" t="str" cm="1">
        <f t="array" ref="C24">_xlfn.IFS(TRIM(B24)="Sunshine Coast","Sunshine Coast Council",TRIM(B24)="Moreton Bay","City of Moreton Bay",TRIM(B24)="Gold Coast","City of Gold Coast",TRIM(B24)="Ipswich","Ipswich City Council",TRUE,"")</f>
        <v>City of Moreton Bay</v>
      </c>
      <c r="D24" s="6" t="str" cm="1">
        <f t="array" ref="D24">_xlfn.IFS(TRIM(B24)="Sunshine Coast", "Environmental Risk (ERA 12 Plastic Processing)", TRIM(B24)="Moreton Bay", "Industrial Operations Risk", TRIM(B24)="Gold Coast", "Logistics &amp; Supply Chain Risk", TRIM(B24)="Ipswich", "Manufacturing Zoning Risk", TRUE, "")</f>
        <v>Industrial Operations Risk</v>
      </c>
      <c r="E24" s="6" t="str" cm="1">
        <f t="array" ref="E24">_xlfn.IFS(TRIM(B24)="Sunshine Coast", "Operation Clean Sweep Audit &amp; Daily Machinery Safety Gate Verification", TRIM(B24)="Moreton Bay", "WHS Incident Log &amp; Heavy Equipment Check", TRIM(B24)="Gold Coast", "Transport Fatigue &amp; Loading Bay Audit", TRIM(B24)="Ipswich", "Council Trade Waste Permit Validation", TRUE, "")</f>
        <v>WHS Incident Log &amp; Heavy Equipment Check</v>
      </c>
      <c r="F24" s="6" t="str" cm="1">
        <f t="array" ref="F24">_xlfn.IFS(TRIM(B24)="Sunshine Coast", "Zero-loss stormwater filtration &amp; chemical containment zones", TRIM(B24)="Moreton Bay", "Machinery isolation guards &amp; mandatory PPE enforcement", TRIM(B24)="Gold Coast", "Distribution logbook validation &amp; freight rest tracking", TRIM(B24)="Ipswich", "Industrial trade effluent testing &amp; zoning layout verification", TRUE, "")</f>
        <v>Machinery isolation guards &amp; mandatory PPE enforcement</v>
      </c>
      <c r="G24" s="6" t="str" cm="1">
        <f t="array" ref="G24">_xlfn.IFS(TRIM(B24)="Sunshine Coast", "DESI Industrial Licenses / MS Loop WHS Folder", TRIM(B24)="Moreton Bay", "WorkSafe QLD / Loop Incident Page", TRIM(B24)="Gold Coast", "QLD Transport Regs / Loop Commute Log", TRIM(B24)="Ipswich", "Ipswich City Council Bylaws / Loop Master Register", TRUE, "")</f>
        <v>WorkSafe QLD / Loop Incident Page</v>
      </c>
    </row>
    <row r="25" spans="1:7" ht="15.6" x14ac:dyDescent="0.3">
      <c r="A25" s="4" t="s">
        <v>22</v>
      </c>
      <c r="B25" s="6" t="s">
        <v>44</v>
      </c>
      <c r="C25" s="6" t="str" cm="1">
        <f t="array" ref="C25">_xlfn.IFS(TRIM(B25)="Sunshine Coast","Sunshine Coast Council",TRIM(B25)="Moreton Bay","City of Moreton Bay",TRIM(B25)="Gold Coast","City of Gold Coast",TRIM(B25)="Ipswich","Ipswich City Council",TRUE,"")</f>
        <v>City of Gold Coast</v>
      </c>
      <c r="D25" s="6" t="str" cm="1">
        <f t="array" ref="D25">_xlfn.IFS(TRIM(B25)="Sunshine Coast", "Environmental Risk (ERA 12 Plastic Processing)", TRIM(B25)="Moreton Bay", "Industrial Operations Risk", TRIM(B25)="Gold Coast", "Logistics &amp; Supply Chain Risk", TRIM(B25)="Ipswich", "Manufacturing Zoning Risk", TRUE, "")</f>
        <v>Logistics &amp; Supply Chain Risk</v>
      </c>
      <c r="E25" s="6" t="str" cm="1">
        <f t="array" ref="E25">_xlfn.IFS(TRIM(B25)="Sunshine Coast", "Operation Clean Sweep Audit &amp; Daily Machinery Safety Gate Verification", TRIM(B25)="Moreton Bay", "WHS Incident Log &amp; Heavy Equipment Check", TRIM(B25)="Gold Coast", "Transport Fatigue &amp; Loading Bay Audit", TRIM(B25)="Ipswich", "Council Trade Waste Permit Validation", TRUE, "")</f>
        <v>Transport Fatigue &amp; Loading Bay Audit</v>
      </c>
      <c r="F25" s="6" t="str" cm="1">
        <f t="array" ref="F25">_xlfn.IFS(TRIM(B25)="Sunshine Coast", "Zero-loss stormwater filtration &amp; chemical containment zones", TRIM(B25)="Moreton Bay", "Machinery isolation guards &amp; mandatory PPE enforcement", TRIM(B25)="Gold Coast", "Distribution logbook validation &amp; freight rest tracking", TRIM(B25)="Ipswich", "Industrial trade effluent testing &amp; zoning layout verification", TRUE, "")</f>
        <v>Distribution logbook validation &amp; freight rest tracking</v>
      </c>
      <c r="G25" s="6" t="str" cm="1">
        <f t="array" ref="G25">_xlfn.IFS(TRIM(B25)="Sunshine Coast", "DESI Industrial Licenses / MS Loop WHS Folder", TRIM(B25)="Moreton Bay", "WorkSafe QLD / Loop Incident Page", TRIM(B25)="Gold Coast", "QLD Transport Regs / Loop Commute Log", TRIM(B25)="Ipswich", "Ipswich City Council Bylaws / Loop Master Register", TRUE, "")</f>
        <v>QLD Transport Regs / Loop Commute Log</v>
      </c>
    </row>
    <row r="26" spans="1:7" ht="15.6" x14ac:dyDescent="0.3">
      <c r="A26" s="4" t="s">
        <v>17</v>
      </c>
      <c r="B26" s="6" t="s">
        <v>44</v>
      </c>
      <c r="C26" s="6" t="str" cm="1">
        <f t="array" ref="C26">_xlfn.IFS(TRIM(B26)="Sunshine Coast","Sunshine Coast Council",TRIM(B26)="Moreton Bay","City of Moreton Bay",TRIM(B26)="Gold Coast","City of Gold Coast",TRIM(B26)="Ipswich","Ipswich City Council",TRUE,"")</f>
        <v>City of Gold Coast</v>
      </c>
      <c r="D26" s="6" t="str" cm="1">
        <f t="array" ref="D26">_xlfn.IFS(TRIM(B26)="Sunshine Coast", "Environmental Risk (ERA 12 Plastic Processing)", TRIM(B26)="Moreton Bay", "Industrial Operations Risk", TRIM(B26)="Gold Coast", "Logistics &amp; Supply Chain Risk", TRIM(B26)="Ipswich", "Manufacturing Zoning Risk", TRUE, "")</f>
        <v>Logistics &amp; Supply Chain Risk</v>
      </c>
      <c r="E26" s="6" t="str" cm="1">
        <f t="array" ref="E26">_xlfn.IFS(TRIM(B26)="Sunshine Coast", "Operation Clean Sweep Audit &amp; Daily Machinery Safety Gate Verification", TRIM(B26)="Moreton Bay", "WHS Incident Log &amp; Heavy Equipment Check", TRIM(B26)="Gold Coast", "Transport Fatigue &amp; Loading Bay Audit", TRIM(B26)="Ipswich", "Council Trade Waste Permit Validation", TRUE, "")</f>
        <v>Transport Fatigue &amp; Loading Bay Audit</v>
      </c>
      <c r="F26" s="6" t="str" cm="1">
        <f t="array" ref="F26">_xlfn.IFS(TRIM(B26)="Sunshine Coast", "Zero-loss stormwater filtration &amp; chemical containment zones", TRIM(B26)="Moreton Bay", "Machinery isolation guards &amp; mandatory PPE enforcement", TRIM(B26)="Gold Coast", "Distribution logbook validation &amp; freight rest tracking", TRIM(B26)="Ipswich", "Industrial trade effluent testing &amp; zoning layout verification", TRUE, "")</f>
        <v>Distribution logbook validation &amp; freight rest tracking</v>
      </c>
      <c r="G26" s="6" t="str" cm="1">
        <f t="array" ref="G26">_xlfn.IFS(TRIM(B26)="Sunshine Coast", "DESI Industrial Licenses / MS Loop WHS Folder", TRIM(B26)="Moreton Bay", "WorkSafe QLD / Loop Incident Page", TRIM(B26)="Gold Coast", "QLD Transport Regs / Loop Commute Log", TRIM(B26)="Ipswich", "Ipswich City Council Bylaws / Loop Master Register", TRUE, "")</f>
        <v>QLD Transport Regs / Loop Commute Log</v>
      </c>
    </row>
    <row r="27" spans="1:7" ht="15" x14ac:dyDescent="0.3">
      <c r="A27" s="3" t="s">
        <v>6</v>
      </c>
      <c r="B27" s="6" t="s">
        <v>43</v>
      </c>
      <c r="C27" s="6" t="str" cm="1">
        <f t="array" ref="C27">_xlfn.IFS(TRIM(B27)="Sunshine Coast","Sunshine Coast Council",TRIM(B27)="Moreton Bay","City of Moreton Bay",TRIM(B27)="Gold Coast","City of Gold Coast",TRIM(B27)="Ipswich","Ipswich City Council",TRUE,"")</f>
        <v>Sunshine Coast Council</v>
      </c>
      <c r="D27" s="6" t="str" cm="1">
        <f t="array" ref="D27">_xlfn.IFS(TRIM(B27)="Sunshine Coast", "Environmental Risk (ERA 12 Plastic Processing)", TRIM(B27)="Moreton Bay", "Industrial Operations Risk", TRIM(B27)="Gold Coast", "Logistics &amp; Supply Chain Risk", TRIM(B27)="Ipswich", "Manufacturing Zoning Risk", TRUE, "")</f>
        <v>Environmental Risk (ERA 12 Plastic Processing)</v>
      </c>
      <c r="E27" s="6" t="str" cm="1">
        <f t="array" ref="E27">_xlfn.IFS(TRIM(B27)="Sunshine Coast", "Operation Clean Sweep Audit &amp; Daily Machinery Safety Gate Verification", TRIM(B27)="Moreton Bay", "WHS Incident Log &amp; Heavy Equipment Check", TRIM(B27)="Gold Coast", "Transport Fatigue &amp; Loading Bay Audit", TRIM(B27)="Ipswich", "Council Trade Waste Permit Validation", TRUE, "")</f>
        <v>Operation Clean Sweep Audit &amp; Daily Machinery Safety Gate Verification</v>
      </c>
      <c r="F27" s="6" t="str" cm="1">
        <f t="array" ref="F27">_xlfn.IFS(TRIM(B27)="Sunshine Coast", "Zero-loss stormwater filtration &amp; chemical containment zones", TRIM(B27)="Moreton Bay", "Machinery isolation guards &amp; mandatory PPE enforcement", TRIM(B27)="Gold Coast", "Distribution logbook validation &amp; freight rest tracking", TRIM(B27)="Ipswich", "Industrial trade effluent testing &amp; zoning layout verification", TRUE, "")</f>
        <v>Zero-loss stormwater filtration &amp; chemical containment zones</v>
      </c>
      <c r="G27" s="6" t="str" cm="1">
        <f t="array" ref="G27">_xlfn.IFS(TRIM(B27)="Sunshine Coast", "DESI Industrial Licenses / MS Loop WHS Folder", TRIM(B27)="Moreton Bay", "WorkSafe QLD / Loop Incident Page", TRIM(B27)="Gold Coast", "QLD Transport Regs / Loop Commute Log", TRIM(B27)="Ipswich", "Ipswich City Council Bylaws / Loop Master Register", TRUE, "")</f>
        <v>DESI Industrial Licenses / MS Loop WHS Folder</v>
      </c>
    </row>
    <row r="28" spans="1:7" ht="15.6" x14ac:dyDescent="0.3">
      <c r="A28" s="4" t="s">
        <v>31</v>
      </c>
      <c r="B28" s="6" t="s">
        <v>45</v>
      </c>
      <c r="C28" s="6" t="str" cm="1">
        <f t="array" ref="C28">_xlfn.IFS(TRIM(B28)="Sunshine Coast","Sunshine Coast Council",TRIM(B28)="Moreton Bay","City of Moreton Bay",TRIM(B28)="Gold Coast","City of Gold Coast",TRIM(B28)="Ipswich","Ipswich City Council",TRUE,"")</f>
        <v>City of Moreton Bay</v>
      </c>
      <c r="D28" s="6" t="str" cm="1">
        <f t="array" ref="D28">_xlfn.IFS(TRIM(B28)="Sunshine Coast", "Environmental Risk (ERA 12 Plastic Processing)", TRIM(B28)="Moreton Bay", "Industrial Operations Risk", TRIM(B28)="Gold Coast", "Logistics &amp; Supply Chain Risk", TRIM(B28)="Ipswich", "Manufacturing Zoning Risk", TRUE, "")</f>
        <v>Industrial Operations Risk</v>
      </c>
      <c r="E28" s="6" t="str" cm="1">
        <f t="array" ref="E28">_xlfn.IFS(TRIM(B28)="Sunshine Coast", "Operation Clean Sweep Audit &amp; Daily Machinery Safety Gate Verification", TRIM(B28)="Moreton Bay", "WHS Incident Log &amp; Heavy Equipment Check", TRIM(B28)="Gold Coast", "Transport Fatigue &amp; Loading Bay Audit", TRIM(B28)="Ipswich", "Council Trade Waste Permit Validation", TRUE, "")</f>
        <v>WHS Incident Log &amp; Heavy Equipment Check</v>
      </c>
      <c r="F28" s="6" t="str" cm="1">
        <f t="array" ref="F28">_xlfn.IFS(TRIM(B28)="Sunshine Coast", "Zero-loss stormwater filtration &amp; chemical containment zones", TRIM(B28)="Moreton Bay", "Machinery isolation guards &amp; mandatory PPE enforcement", TRIM(B28)="Gold Coast", "Distribution logbook validation &amp; freight rest tracking", TRIM(B28)="Ipswich", "Industrial trade effluent testing &amp; zoning layout verification", TRUE, "")</f>
        <v>Machinery isolation guards &amp; mandatory PPE enforcement</v>
      </c>
      <c r="G28" s="6" t="str" cm="1">
        <f t="array" ref="G28">_xlfn.IFS(TRIM(B28)="Sunshine Coast", "DESI Industrial Licenses / MS Loop WHS Folder", TRIM(B28)="Moreton Bay", "WorkSafe QLD / Loop Incident Page", TRIM(B28)="Gold Coast", "QLD Transport Regs / Loop Commute Log", TRIM(B28)="Ipswich", "Ipswich City Council Bylaws / Loop Master Register", TRUE, "")</f>
        <v>WorkSafe QLD / Loop Incident Page</v>
      </c>
    </row>
    <row r="29" spans="1:7" ht="15.6" x14ac:dyDescent="0.3">
      <c r="A29" s="4" t="s">
        <v>18</v>
      </c>
      <c r="B29" s="6" t="s">
        <v>44</v>
      </c>
      <c r="C29" s="6" t="str" cm="1">
        <f t="array" ref="C29">_xlfn.IFS(TRIM(B29)="Sunshine Coast","Sunshine Coast Council",TRIM(B29)="Moreton Bay","City of Moreton Bay",TRIM(B29)="Gold Coast","City of Gold Coast",TRIM(B29)="Ipswich","Ipswich City Council",TRUE,"")</f>
        <v>City of Gold Coast</v>
      </c>
      <c r="D29" s="6" t="str" cm="1">
        <f t="array" ref="D29">_xlfn.IFS(TRIM(B29)="Sunshine Coast", "Environmental Risk (ERA 12 Plastic Processing)", TRIM(B29)="Moreton Bay", "Industrial Operations Risk", TRIM(B29)="Gold Coast", "Logistics &amp; Supply Chain Risk", TRIM(B29)="Ipswich", "Manufacturing Zoning Risk", TRUE, "")</f>
        <v>Logistics &amp; Supply Chain Risk</v>
      </c>
      <c r="E29" s="6" t="str" cm="1">
        <f t="array" ref="E29">_xlfn.IFS(TRIM(B29)="Sunshine Coast", "Operation Clean Sweep Audit &amp; Daily Machinery Safety Gate Verification", TRIM(B29)="Moreton Bay", "WHS Incident Log &amp; Heavy Equipment Check", TRIM(B29)="Gold Coast", "Transport Fatigue &amp; Loading Bay Audit", TRIM(B29)="Ipswich", "Council Trade Waste Permit Validation", TRUE, "")</f>
        <v>Transport Fatigue &amp; Loading Bay Audit</v>
      </c>
      <c r="F29" s="6" t="str" cm="1">
        <f t="array" ref="F29">_xlfn.IFS(TRIM(B29)="Sunshine Coast", "Zero-loss stormwater filtration &amp; chemical containment zones", TRIM(B29)="Moreton Bay", "Machinery isolation guards &amp; mandatory PPE enforcement", TRIM(B29)="Gold Coast", "Distribution logbook validation &amp; freight rest tracking", TRIM(B29)="Ipswich", "Industrial trade effluent testing &amp; zoning layout verification", TRUE, "")</f>
        <v>Distribution logbook validation &amp; freight rest tracking</v>
      </c>
      <c r="G29" s="6" t="str" cm="1">
        <f t="array" ref="G29">_xlfn.IFS(TRIM(B29)="Sunshine Coast", "DESI Industrial Licenses / MS Loop WHS Folder", TRIM(B29)="Moreton Bay", "WorkSafe QLD / Loop Incident Page", TRIM(B29)="Gold Coast", "QLD Transport Regs / Loop Commute Log", TRIM(B29)="Ipswich", "Ipswich City Council Bylaws / Loop Master Register", TRUE, "")</f>
        <v>QLD Transport Regs / Loop Commute Log</v>
      </c>
    </row>
    <row r="30" spans="1:7" ht="15.6" x14ac:dyDescent="0.3">
      <c r="A30" s="4" t="s">
        <v>37</v>
      </c>
      <c r="B30" s="6" t="s">
        <v>38</v>
      </c>
      <c r="C30" s="6" t="str" cm="1">
        <f t="array" ref="C30">_xlfn.IFS(TRIM(B30)="Sunshine Coast","Sunshine Coast Council",TRIM(B30)="Moreton Bay","City of Moreton Bay",TRIM(B30)="Gold Coast","City of Gold Coast",TRIM(B30)="Ipswich","Ipswich City Council",TRUE,"")</f>
        <v>Ipswich City Council</v>
      </c>
      <c r="D30" s="6" t="str" cm="1">
        <f t="array" ref="D30">_xlfn.IFS(TRIM(B30)="Sunshine Coast", "Environmental Risk (ERA 12 Plastic Processing)", TRIM(B30)="Moreton Bay", "Industrial Operations Risk", TRIM(B30)="Gold Coast", "Logistics &amp; Supply Chain Risk", TRIM(B30)="Ipswich", "Manufacturing Zoning Risk", TRUE, "")</f>
        <v>Manufacturing Zoning Risk</v>
      </c>
      <c r="E30" s="6" t="str" cm="1">
        <f t="array" ref="E30">_xlfn.IFS(TRIM(B30)="Sunshine Coast", "Operation Clean Sweep Audit &amp; Daily Machinery Safety Gate Verification", TRIM(B30)="Moreton Bay", "WHS Incident Log &amp; Heavy Equipment Check", TRIM(B30)="Gold Coast", "Transport Fatigue &amp; Loading Bay Audit", TRIM(B30)="Ipswich", "Council Trade Waste Permit Validation", TRUE, "")</f>
        <v>Council Trade Waste Permit Validation</v>
      </c>
      <c r="F30" s="6" t="str" cm="1">
        <f t="array" ref="F30">_xlfn.IFS(TRIM(B30)="Sunshine Coast", "Zero-loss stormwater filtration &amp; chemical containment zones", TRIM(B30)="Moreton Bay", "Machinery isolation guards &amp; mandatory PPE enforcement", TRIM(B30)="Gold Coast", "Distribution logbook validation &amp; freight rest tracking", TRIM(B30)="Ipswich", "Industrial trade effluent testing &amp; zoning layout verification", TRUE, "")</f>
        <v>Industrial trade effluent testing &amp; zoning layout verification</v>
      </c>
      <c r="G30" s="6" t="str" cm="1">
        <f t="array" ref="G30">_xlfn.IFS(TRIM(B30)="Sunshine Coast", "DESI Industrial Licenses / MS Loop WHS Folder", TRIM(B30)="Moreton Bay", "WorkSafe QLD / Loop Incident Page", TRIM(B30)="Gold Coast", "QLD Transport Regs / Loop Commute Log", TRIM(B30)="Ipswich", "Ipswich City Council Bylaws / Loop Master Register", TRUE, "")</f>
        <v>Ipswich City Council Bylaws / Loop Master Register</v>
      </c>
    </row>
    <row r="31" spans="1:7" ht="15.6" x14ac:dyDescent="0.3">
      <c r="A31" s="4" t="s">
        <v>23</v>
      </c>
      <c r="B31" s="6" t="s">
        <v>44</v>
      </c>
      <c r="C31" s="6" t="str" cm="1">
        <f t="array" ref="C31">_xlfn.IFS(TRIM(B31)="Sunshine Coast","Sunshine Coast Council",TRIM(B31)="Moreton Bay","City of Moreton Bay",TRIM(B31)="Gold Coast","City of Gold Coast",TRIM(B31)="Ipswich","Ipswich City Council",TRUE,"")</f>
        <v>City of Gold Coast</v>
      </c>
      <c r="D31" s="6" t="str" cm="1">
        <f t="array" ref="D31">_xlfn.IFS(TRIM(B31)="Sunshine Coast", "Environmental Risk (ERA 12 Plastic Processing)", TRIM(B31)="Moreton Bay", "Industrial Operations Risk", TRIM(B31)="Gold Coast", "Logistics &amp; Supply Chain Risk", TRIM(B31)="Ipswich", "Manufacturing Zoning Risk", TRUE, "")</f>
        <v>Logistics &amp; Supply Chain Risk</v>
      </c>
      <c r="E31" s="6" t="str" cm="1">
        <f t="array" ref="E31">_xlfn.IFS(TRIM(B31)="Sunshine Coast", "Operation Clean Sweep Audit &amp; Daily Machinery Safety Gate Verification", TRIM(B31)="Moreton Bay", "WHS Incident Log &amp; Heavy Equipment Check", TRIM(B31)="Gold Coast", "Transport Fatigue &amp; Loading Bay Audit", TRIM(B31)="Ipswich", "Council Trade Waste Permit Validation", TRUE, "")</f>
        <v>Transport Fatigue &amp; Loading Bay Audit</v>
      </c>
      <c r="F31" s="6" t="str" cm="1">
        <f t="array" ref="F31">_xlfn.IFS(TRIM(B31)="Sunshine Coast", "Zero-loss stormwater filtration &amp; chemical containment zones", TRIM(B31)="Moreton Bay", "Machinery isolation guards &amp; mandatory PPE enforcement", TRIM(B31)="Gold Coast", "Distribution logbook validation &amp; freight rest tracking", TRIM(B31)="Ipswich", "Industrial trade effluent testing &amp; zoning layout verification", TRUE, "")</f>
        <v>Distribution logbook validation &amp; freight rest tracking</v>
      </c>
      <c r="G31" s="6" t="str" cm="1">
        <f t="array" ref="G31">_xlfn.IFS(TRIM(B31)="Sunshine Coast", "DESI Industrial Licenses / MS Loop WHS Folder", TRIM(B31)="Moreton Bay", "WorkSafe QLD / Loop Incident Page", TRIM(B31)="Gold Coast", "QLD Transport Regs / Loop Commute Log", TRIM(B31)="Ipswich", "Ipswich City Council Bylaws / Loop Master Register", TRUE, "")</f>
        <v>QLD Transport Regs / Loop Commute Log</v>
      </c>
    </row>
    <row r="32" spans="1:7" ht="15.6" x14ac:dyDescent="0.3">
      <c r="A32" s="4" t="s">
        <v>39</v>
      </c>
      <c r="B32" s="6" t="s">
        <v>38</v>
      </c>
      <c r="C32" s="6" t="str" cm="1">
        <f t="array" ref="C32">_xlfn.IFS(TRIM(B32)="Sunshine Coast","Sunshine Coast Council",TRIM(B32)="Moreton Bay","City of Moreton Bay",TRIM(B32)="Gold Coast","City of Gold Coast",TRIM(B32)="Ipswich","Ipswich City Council",TRUE,"")</f>
        <v>Ipswich City Council</v>
      </c>
      <c r="D32" s="6" t="str" cm="1">
        <f t="array" ref="D32">_xlfn.IFS(TRIM(B32)="Sunshine Coast", "Environmental Risk (ERA 12 Plastic Processing)", TRIM(B32)="Moreton Bay", "Industrial Operations Risk", TRIM(B32)="Gold Coast", "Logistics &amp; Supply Chain Risk", TRIM(B32)="Ipswich", "Manufacturing Zoning Risk", TRUE, "")</f>
        <v>Manufacturing Zoning Risk</v>
      </c>
      <c r="E32" s="6" t="str" cm="1">
        <f t="array" ref="E32">_xlfn.IFS(TRIM(B32)="Sunshine Coast", "Operation Clean Sweep Audit &amp; Daily Machinery Safety Gate Verification", TRIM(B32)="Moreton Bay", "WHS Incident Log &amp; Heavy Equipment Check", TRIM(B32)="Gold Coast", "Transport Fatigue &amp; Loading Bay Audit", TRIM(B32)="Ipswich", "Council Trade Waste Permit Validation", TRUE, "")</f>
        <v>Council Trade Waste Permit Validation</v>
      </c>
      <c r="F32" s="6" t="str" cm="1">
        <f t="array" ref="F32">_xlfn.IFS(TRIM(B32)="Sunshine Coast", "Zero-loss stormwater filtration &amp; chemical containment zones", TRIM(B32)="Moreton Bay", "Machinery isolation guards &amp; mandatory PPE enforcement", TRIM(B32)="Gold Coast", "Distribution logbook validation &amp; freight rest tracking", TRIM(B32)="Ipswich", "Industrial trade effluent testing &amp; zoning layout verification", TRUE, "")</f>
        <v>Industrial trade effluent testing &amp; zoning layout verification</v>
      </c>
      <c r="G32" s="6" t="str" cm="1">
        <f t="array" ref="G32">_xlfn.IFS(TRIM(B32)="Sunshine Coast", "DESI Industrial Licenses / MS Loop WHS Folder", TRIM(B32)="Moreton Bay", "WorkSafe QLD / Loop Incident Page", TRIM(B32)="Gold Coast", "QLD Transport Regs / Loop Commute Log", TRIM(B32)="Ipswich", "Ipswich City Council Bylaws / Loop Master Register", TRUE, "")</f>
        <v>Ipswich City Council Bylaws / Loop Master Register</v>
      </c>
    </row>
    <row r="33" spans="1:7" ht="15.6" x14ac:dyDescent="0.3">
      <c r="A33" s="4" t="s">
        <v>26</v>
      </c>
      <c r="B33" s="6" t="s">
        <v>45</v>
      </c>
      <c r="C33" s="6" t="str" cm="1">
        <f t="array" ref="C33">_xlfn.IFS(TRIM(B33)="Sunshine Coast","Sunshine Coast Council",TRIM(B33)="Moreton Bay","City of Moreton Bay",TRIM(B33)="Gold Coast","City of Gold Coast",TRIM(B33)="Ipswich","Ipswich City Council",TRUE,"")</f>
        <v>City of Moreton Bay</v>
      </c>
      <c r="D33" s="6" t="str" cm="1">
        <f t="array" ref="D33">_xlfn.IFS(TRIM(B33)="Sunshine Coast", "Environmental Risk (ERA 12 Plastic Processing)", TRIM(B33)="Moreton Bay", "Industrial Operations Risk", TRIM(B33)="Gold Coast", "Logistics &amp; Supply Chain Risk", TRIM(B33)="Ipswich", "Manufacturing Zoning Risk", TRUE, "")</f>
        <v>Industrial Operations Risk</v>
      </c>
      <c r="E33" s="6" t="str" cm="1">
        <f t="array" ref="E33">_xlfn.IFS(TRIM(B33)="Sunshine Coast", "Operation Clean Sweep Audit &amp; Daily Machinery Safety Gate Verification", TRIM(B33)="Moreton Bay", "WHS Incident Log &amp; Heavy Equipment Check", TRIM(B33)="Gold Coast", "Transport Fatigue &amp; Loading Bay Audit", TRIM(B33)="Ipswich", "Council Trade Waste Permit Validation", TRUE, "")</f>
        <v>WHS Incident Log &amp; Heavy Equipment Check</v>
      </c>
      <c r="F33" s="6" t="str" cm="1">
        <f t="array" ref="F33">_xlfn.IFS(TRIM(B33)="Sunshine Coast", "Zero-loss stormwater filtration &amp; chemical containment zones", TRIM(B33)="Moreton Bay", "Machinery isolation guards &amp; mandatory PPE enforcement", TRIM(B33)="Gold Coast", "Distribution logbook validation &amp; freight rest tracking", TRIM(B33)="Ipswich", "Industrial trade effluent testing &amp; zoning layout verification", TRUE, "")</f>
        <v>Machinery isolation guards &amp; mandatory PPE enforcement</v>
      </c>
      <c r="G33" s="6" t="str" cm="1">
        <f t="array" ref="G33">_xlfn.IFS(TRIM(B33)="Sunshine Coast", "DESI Industrial Licenses / MS Loop WHS Folder", TRIM(B33)="Moreton Bay", "WorkSafe QLD / Loop Incident Page", TRIM(B33)="Gold Coast", "QLD Transport Regs / Loop Commute Log", TRIM(B33)="Ipswich", "Ipswich City Council Bylaws / Loop Master Register", TRUE, "")</f>
        <v>WorkSafe QLD / Loop Incident Page</v>
      </c>
    </row>
    <row r="34" spans="1:7" ht="15.6" x14ac:dyDescent="0.3">
      <c r="A34" s="4" t="s">
        <v>41</v>
      </c>
      <c r="B34" s="6" t="s">
        <v>38</v>
      </c>
      <c r="C34" s="6" t="str" cm="1">
        <f t="array" ref="C34">_xlfn.IFS(TRIM(B34)="Sunshine Coast","Sunshine Coast Council",TRIM(B34)="Moreton Bay","City of Moreton Bay",TRIM(B34)="Gold Coast","City of Gold Coast",TRIM(B34)="Ipswich","Ipswich City Council",TRUE,"")</f>
        <v>Ipswich City Council</v>
      </c>
      <c r="D34" s="6" t="str" cm="1">
        <f t="array" ref="D34">_xlfn.IFS(TRIM(B34)="Sunshine Coast", "Environmental Risk (ERA 12 Plastic Processing)", TRIM(B34)="Moreton Bay", "Industrial Operations Risk", TRIM(B34)="Gold Coast", "Logistics &amp; Supply Chain Risk", TRIM(B34)="Ipswich", "Manufacturing Zoning Risk", TRUE, "")</f>
        <v>Manufacturing Zoning Risk</v>
      </c>
      <c r="E34" s="6" t="str" cm="1">
        <f t="array" ref="E34">_xlfn.IFS(TRIM(B34)="Sunshine Coast", "Operation Clean Sweep Audit &amp; Daily Machinery Safety Gate Verification", TRIM(B34)="Moreton Bay", "WHS Incident Log &amp; Heavy Equipment Check", TRIM(B34)="Gold Coast", "Transport Fatigue &amp; Loading Bay Audit", TRIM(B34)="Ipswich", "Council Trade Waste Permit Validation", TRUE, "")</f>
        <v>Council Trade Waste Permit Validation</v>
      </c>
      <c r="F34" s="6" t="str" cm="1">
        <f t="array" ref="F34">_xlfn.IFS(TRIM(B34)="Sunshine Coast", "Zero-loss stormwater filtration &amp; chemical containment zones", TRIM(B34)="Moreton Bay", "Machinery isolation guards &amp; mandatory PPE enforcement", TRIM(B34)="Gold Coast", "Distribution logbook validation &amp; freight rest tracking", TRIM(B34)="Ipswich", "Industrial trade effluent testing &amp; zoning layout verification", TRUE, "")</f>
        <v>Industrial trade effluent testing &amp; zoning layout verification</v>
      </c>
      <c r="G34" s="6" t="str" cm="1">
        <f t="array" ref="G34">_xlfn.IFS(TRIM(B34)="Sunshine Coast", "DESI Industrial Licenses / MS Loop WHS Folder", TRIM(B34)="Moreton Bay", "WorkSafe QLD / Loop Incident Page", TRIM(B34)="Gold Coast", "QLD Transport Regs / Loop Commute Log", TRIM(B34)="Ipswich", "Ipswich City Council Bylaws / Loop Master Register", TRUE, "")</f>
        <v>Ipswich City Council Bylaws / Loop Master Register</v>
      </c>
    </row>
    <row r="35" spans="1:7" ht="15.6" x14ac:dyDescent="0.3">
      <c r="A35" s="4" t="s">
        <v>42</v>
      </c>
      <c r="B35" s="6" t="s">
        <v>38</v>
      </c>
      <c r="C35" s="6" t="str" cm="1">
        <f t="array" ref="C35">_xlfn.IFS(TRIM(B35)="Sunshine Coast","Sunshine Coast Council",TRIM(B35)="Moreton Bay","City of Moreton Bay",TRIM(B35)="Gold Coast","City of Gold Coast",TRIM(B35)="Ipswich","Ipswich City Council",TRUE,"")</f>
        <v>Ipswich City Council</v>
      </c>
      <c r="D35" s="6" t="str" cm="1">
        <f t="array" ref="D35">_xlfn.IFS(TRIM(B35)="Sunshine Coast", "Environmental Risk (ERA 12 Plastic Processing)", TRIM(B35)="Moreton Bay", "Industrial Operations Risk", TRIM(B35)="Gold Coast", "Logistics &amp; Supply Chain Risk", TRIM(B35)="Ipswich", "Manufacturing Zoning Risk", TRUE, "")</f>
        <v>Manufacturing Zoning Risk</v>
      </c>
      <c r="E35" s="6" t="str" cm="1">
        <f t="array" ref="E35">_xlfn.IFS(TRIM(B35)="Sunshine Coast", "Operation Clean Sweep Audit &amp; Daily Machinery Safety Gate Verification", TRIM(B35)="Moreton Bay", "WHS Incident Log &amp; Heavy Equipment Check", TRIM(B35)="Gold Coast", "Transport Fatigue &amp; Loading Bay Audit", TRIM(B35)="Ipswich", "Council Trade Waste Permit Validation", TRUE, "")</f>
        <v>Council Trade Waste Permit Validation</v>
      </c>
      <c r="F35" s="6" t="str" cm="1">
        <f t="array" ref="F35">_xlfn.IFS(TRIM(B35)="Sunshine Coast", "Zero-loss stormwater filtration &amp; chemical containment zones", TRIM(B35)="Moreton Bay", "Machinery isolation guards &amp; mandatory PPE enforcement", TRIM(B35)="Gold Coast", "Distribution logbook validation &amp; freight rest tracking", TRIM(B35)="Ipswich", "Industrial trade effluent testing &amp; zoning layout verification", TRUE, "")</f>
        <v>Industrial trade effluent testing &amp; zoning layout verification</v>
      </c>
      <c r="G35" s="6" t="str" cm="1">
        <f t="array" ref="G35">_xlfn.IFS(TRIM(B35)="Sunshine Coast", "DESI Industrial Licenses / MS Loop WHS Folder", TRIM(B35)="Moreton Bay", "WorkSafe QLD / Loop Incident Page", TRIM(B35)="Gold Coast", "QLD Transport Regs / Loop Commute Log", TRIM(B35)="Ipswich", "Ipswich City Council Bylaws / Loop Master Register", TRUE, "")</f>
        <v>Ipswich City Council Bylaws / Loop Master Register</v>
      </c>
    </row>
    <row r="36" spans="1:7" ht="15.6" x14ac:dyDescent="0.3">
      <c r="A36" s="4" t="s">
        <v>24</v>
      </c>
      <c r="B36" s="6" t="s">
        <v>44</v>
      </c>
      <c r="C36" s="6" t="str" cm="1">
        <f t="array" ref="C36">_xlfn.IFS(TRIM(B36)="Sunshine Coast","Sunshine Coast Council",TRIM(B36)="Moreton Bay","City of Moreton Bay",TRIM(B36)="Gold Coast","City of Gold Coast",TRIM(B36)="Ipswich","Ipswich City Council",TRUE,"")</f>
        <v>City of Gold Coast</v>
      </c>
      <c r="D36" s="6" t="str" cm="1">
        <f t="array" ref="D36">_xlfn.IFS(TRIM(B36)="Sunshine Coast", "Environmental Risk (ERA 12 Plastic Processing)", TRIM(B36)="Moreton Bay", "Industrial Operations Risk", TRIM(B36)="Gold Coast", "Logistics &amp; Supply Chain Risk", TRIM(B36)="Ipswich", "Manufacturing Zoning Risk", TRUE, "")</f>
        <v>Logistics &amp; Supply Chain Risk</v>
      </c>
      <c r="E36" s="6" t="str" cm="1">
        <f t="array" ref="E36">_xlfn.IFS(TRIM(B36)="Sunshine Coast", "Operation Clean Sweep Audit &amp; Daily Machinery Safety Gate Verification", TRIM(B36)="Moreton Bay", "WHS Incident Log &amp; Heavy Equipment Check", TRIM(B36)="Gold Coast", "Transport Fatigue &amp; Loading Bay Audit", TRIM(B36)="Ipswich", "Council Trade Waste Permit Validation", TRUE, "")</f>
        <v>Transport Fatigue &amp; Loading Bay Audit</v>
      </c>
      <c r="F36" s="6" t="str" cm="1">
        <f t="array" ref="F36">_xlfn.IFS(TRIM(B36)="Sunshine Coast", "Zero-loss stormwater filtration &amp; chemical containment zones", TRIM(B36)="Moreton Bay", "Machinery isolation guards &amp; mandatory PPE enforcement", TRIM(B36)="Gold Coast", "Distribution logbook validation &amp; freight rest tracking", TRIM(B36)="Ipswich", "Industrial trade effluent testing &amp; zoning layout verification", TRUE, "")</f>
        <v>Distribution logbook validation &amp; freight rest tracking</v>
      </c>
      <c r="G36" s="6" t="str" cm="1">
        <f t="array" ref="G36">_xlfn.IFS(TRIM(B36)="Sunshine Coast", "DESI Industrial Licenses / MS Loop WHS Folder", TRIM(B36)="Moreton Bay", "WorkSafe QLD / Loop Incident Page", TRIM(B36)="Gold Coast", "QLD Transport Regs / Loop Commute Log", TRIM(B36)="Ipswich", "Ipswich City Council Bylaws / Loop Master Register", TRUE, "")</f>
        <v>QLD Transport Regs / Loop Commute Log</v>
      </c>
    </row>
    <row r="37" spans="1:7" ht="15.6" x14ac:dyDescent="0.3">
      <c r="A37" s="4" t="s">
        <v>40</v>
      </c>
      <c r="B37" s="6" t="s">
        <v>38</v>
      </c>
      <c r="C37" s="6" t="str" cm="1">
        <f t="array" ref="C37">_xlfn.IFS(TRIM(B37)="Sunshine Coast","Sunshine Coast Council",TRIM(B37)="Moreton Bay","City of Moreton Bay",TRIM(B37)="Gold Coast","City of Gold Coast",TRIM(B37)="Ipswich","Ipswich City Council",TRUE,"")</f>
        <v>Ipswich City Council</v>
      </c>
      <c r="D37" s="6" t="str" cm="1">
        <f t="array" ref="D37">_xlfn.IFS(TRIM(B37)="Sunshine Coast", "Environmental Risk (ERA 12 Plastic Processing)", TRIM(B37)="Moreton Bay", "Industrial Operations Risk", TRIM(B37)="Gold Coast", "Logistics &amp; Supply Chain Risk", TRIM(B37)="Ipswich", "Manufacturing Zoning Risk", TRUE, "")</f>
        <v>Manufacturing Zoning Risk</v>
      </c>
      <c r="E37" s="6" t="str" cm="1">
        <f t="array" ref="E37">_xlfn.IFS(TRIM(B37)="Sunshine Coast", "Operation Clean Sweep Audit &amp; Daily Machinery Safety Gate Verification", TRIM(B37)="Moreton Bay", "WHS Incident Log &amp; Heavy Equipment Check", TRIM(B37)="Gold Coast", "Transport Fatigue &amp; Loading Bay Audit", TRIM(B37)="Ipswich", "Council Trade Waste Permit Validation", TRUE, "")</f>
        <v>Council Trade Waste Permit Validation</v>
      </c>
      <c r="F37" s="6" t="str" cm="1">
        <f t="array" ref="F37">_xlfn.IFS(TRIM(B37)="Sunshine Coast", "Zero-loss stormwater filtration &amp; chemical containment zones", TRIM(B37)="Moreton Bay", "Machinery isolation guards &amp; mandatory PPE enforcement", TRIM(B37)="Gold Coast", "Distribution logbook validation &amp; freight rest tracking", TRIM(B37)="Ipswich", "Industrial trade effluent testing &amp; zoning layout verification", TRUE, "")</f>
        <v>Industrial trade effluent testing &amp; zoning layout verification</v>
      </c>
      <c r="G37" s="6" t="str" cm="1">
        <f t="array" ref="G37">_xlfn.IFS(TRIM(B37)="Sunshine Coast", "DESI Industrial Licenses / MS Loop WHS Folder", TRIM(B37)="Moreton Bay", "WorkSafe QLD / Loop Incident Page", TRIM(B37)="Gold Coast", "QLD Transport Regs / Loop Commute Log", TRIM(B37)="Ipswich", "Ipswich City Council Bylaws / Loop Master Register", TRUE, "")</f>
        <v>Ipswich City Council Bylaws / Loop Master Register</v>
      </c>
    </row>
    <row r="38" spans="1:7" ht="15" x14ac:dyDescent="0.3">
      <c r="A38" s="3" t="s">
        <v>7</v>
      </c>
      <c r="B38" s="6" t="s">
        <v>43</v>
      </c>
      <c r="C38" s="6" t="str" cm="1">
        <f t="array" ref="C38">_xlfn.IFS(TRIM(B38)="Sunshine Coast","Sunshine Coast Council",TRIM(B38)="Moreton Bay","City of Moreton Bay",TRIM(B38)="Gold Coast","City of Gold Coast",TRIM(B38)="Ipswich","Ipswich City Council",TRUE,"")</f>
        <v>Sunshine Coast Council</v>
      </c>
      <c r="D38" s="6" t="str" cm="1">
        <f t="array" ref="D38">_xlfn.IFS(TRIM(B38)="Sunshine Coast", "Environmental Risk (ERA 12 Plastic Processing)", TRIM(B38)="Moreton Bay", "Industrial Operations Risk", TRIM(B38)="Gold Coast", "Logistics &amp; Supply Chain Risk", TRIM(B38)="Ipswich", "Manufacturing Zoning Risk", TRUE, "")</f>
        <v>Environmental Risk (ERA 12 Plastic Processing)</v>
      </c>
      <c r="E38" s="6" t="str" cm="1">
        <f t="array" ref="E38">_xlfn.IFS(TRIM(B38)="Sunshine Coast", "Operation Clean Sweep Audit &amp; Daily Machinery Safety Gate Verification", TRIM(B38)="Moreton Bay", "WHS Incident Log &amp; Heavy Equipment Check", TRIM(B38)="Gold Coast", "Transport Fatigue &amp; Loading Bay Audit", TRIM(B38)="Ipswich", "Council Trade Waste Permit Validation", TRUE, "")</f>
        <v>Operation Clean Sweep Audit &amp; Daily Machinery Safety Gate Verification</v>
      </c>
      <c r="F38" s="6" t="str" cm="1">
        <f t="array" ref="F38">_xlfn.IFS(TRIM(B38)="Sunshine Coast", "Zero-loss stormwater filtration &amp; chemical containment zones", TRIM(B38)="Moreton Bay", "Machinery isolation guards &amp; mandatory PPE enforcement", TRIM(B38)="Gold Coast", "Distribution logbook validation &amp; freight rest tracking", TRIM(B38)="Ipswich", "Industrial trade effluent testing &amp; zoning layout verification", TRUE, "")</f>
        <v>Zero-loss stormwater filtration &amp; chemical containment zones</v>
      </c>
      <c r="G38" s="6" t="str" cm="1">
        <f t="array" ref="G38">_xlfn.IFS(TRIM(B38)="Sunshine Coast", "DESI Industrial Licenses / MS Loop WHS Folder", TRIM(B38)="Moreton Bay", "WorkSafe QLD / Loop Incident Page", TRIM(B38)="Gold Coast", "QLD Transport Regs / Loop Commute Log", TRIM(B38)="Ipswich", "Ipswich City Council Bylaws / Loop Master Register", TRUE, "")</f>
        <v>DESI Industrial Licenses / MS Loop WHS Folder</v>
      </c>
    </row>
  </sheetData>
  <sortState xmlns:xlrd2="http://schemas.microsoft.com/office/spreadsheetml/2017/richdata2" ref="A3:I39">
    <sortCondition ref="A3:A39"/>
  </sortState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E78C-8B69-4FD6-A443-9B805A7561F8}">
  <dimension ref="A1:I38"/>
  <sheetViews>
    <sheetView workbookViewId="0">
      <selection activeCell="E7" sqref="E7"/>
    </sheetView>
  </sheetViews>
  <sheetFormatPr defaultRowHeight="14.4" x14ac:dyDescent="0.3"/>
  <cols>
    <col min="1" max="1" width="24.33203125" bestFit="1" customWidth="1"/>
    <col min="2" max="2" width="25.21875" customWidth="1"/>
    <col min="3" max="3" width="24.44140625" customWidth="1"/>
    <col min="4" max="4" width="49" bestFit="1" customWidth="1"/>
    <col min="5" max="5" width="72" bestFit="1" customWidth="1"/>
    <col min="6" max="6" width="86.88671875" bestFit="1" customWidth="1"/>
    <col min="7" max="7" width="68.21875" bestFit="1" customWidth="1"/>
    <col min="8" max="8" width="12.5546875" customWidth="1"/>
    <col min="9" max="9" width="10.109375" bestFit="1" customWidth="1"/>
  </cols>
  <sheetData>
    <row r="1" spans="1:9" ht="46.8" thickBot="1" x14ac:dyDescent="0.35">
      <c r="A1" s="7" t="s">
        <v>50</v>
      </c>
      <c r="B1" s="7"/>
      <c r="C1" s="7"/>
      <c r="D1" s="7"/>
      <c r="E1" s="7"/>
      <c r="F1" s="7"/>
      <c r="G1" s="7"/>
      <c r="H1" t="s">
        <v>15</v>
      </c>
      <c r="I1" t="s">
        <v>16</v>
      </c>
    </row>
    <row r="2" spans="1:9" ht="69.599999999999994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</v>
      </c>
      <c r="G2" s="1" t="s">
        <v>14</v>
      </c>
    </row>
    <row r="3" spans="1:9" ht="15" x14ac:dyDescent="0.3">
      <c r="A3" s="3" t="s">
        <v>0</v>
      </c>
      <c r="B3" s="6" t="s">
        <v>43</v>
      </c>
      <c r="C3" s="6" t="str" cm="1">
        <f t="array" ref="C3">_xlfn.IFS(TRIM(B3)="Sunshine Coast","Sunshine Coast Council",TRIM(B3)="Moreton Bay","City of Moreton Bay",TRIM(B3)="Gold Coast","City of Gold Coast",TRIM(B3)="Ipswich","Ipswich City Council",TRUE,"")</f>
        <v>Sunshine Coast Council</v>
      </c>
      <c r="D3" s="6" t="str" cm="1">
        <f t="array" ref="D3">_xlfn.IFS(TRIM(B3)="Sunshine Coast","Biosecurity &amp; Trade Waste Liquid Risk",TRIM(B3)="Moreton Bay","Commercial Effluent &amp; Sewer Network Blockage Risk",TRIM(B3)="Gold Coast","FOG (Fats, Oils &amp; Grease) Overload Risk",TRIM(B3)="Ipswich","Liquid Trade Waste Compliance &amp; Pathogen Risk",TRUE,"")</f>
        <v>Biosecurity &amp; Trade Waste Liquid Risk</v>
      </c>
      <c r="E3" s="6" t="str" cm="1">
        <f t="array" ref="E3">_xlfn.IFS(TRIM(B3)="Sunshine Coast","Grease Trap Maintenance Log &amp; Food Safety Supervisor Certificate Validation",TRIM(B3)="Moreton Bay","Unitywater Digital QR Code Tag Scan &amp; Settleable Solids Log",TRIM(B3)="Gold Coast","Licensed Liquid Waste Contractor Extraction &amp; Baffle Structural Check",TRIM(B3)="Ipswich","Urban Utilities Approved Sizing Metric &amp; 25% FOG Accumulation Audit",TRUE,"")</f>
        <v>Grease Trap Maintenance Log &amp; Food Safety Supervisor Certificate Validation</v>
      </c>
      <c r="F3" s="6" t="str" cm="1">
        <f t="array" ref="F3">_xlfn.IFS(TRIM(B3)="Sunshine Coast","A mandatory grease arrestor pump-out every 13 weeks minimum",TRIM(B3)="Moreton Bay","Mandatory compliance with Unitywater Trade Waste Policy &amp; scheduled pump-outs",TRIM(B3)="Gold Coast","All wastewater from food prep, floor wastes, and dishwashers must pass through approved trap",TRIM(B3)="Ipswich","Routine cleaning intervals mandated by Urban Utilities (ranging from 4 to 12 weeks)",TRUE,"")</f>
        <v>A mandatory grease arrestor pump-out every 13 weeks minimum</v>
      </c>
      <c r="G3" s="6" t="str" cm="1">
        <f t="array" ref="G3">_xlfn.IFS(TRIM(B3)="Sunshine Coast", "Unitywater Trade Waste Permit / MS Loop Food Folder", TRIM(B3)="Moreton Bay", "Water Supply (Safety and Reliability) Act 2008 / Unitywater Policy", TRIM(B3)="Gold Coast", "City of Gold Coast Liquid Trade Waste Guidelines", TRIM(B3)="Ipswich", "Urban Utilities Trade Waste Program / Ipswich Environmental Health Regs", TRUE, "")</f>
        <v>Unitywater Trade Waste Permit / MS Loop Food Folder</v>
      </c>
    </row>
    <row r="4" spans="1:9" ht="15" x14ac:dyDescent="0.3">
      <c r="A4" s="3" t="s">
        <v>2</v>
      </c>
      <c r="B4" s="6" t="s">
        <v>43</v>
      </c>
      <c r="C4" s="6" t="str" cm="1">
        <f t="array" ref="C4">_xlfn.IFS(TRIM(B4)="Sunshine Coast","Sunshine Coast Council",TRIM(B4)="Moreton Bay","City of Moreton Bay",TRIM(B4)="Gold Coast","City of Gold Coast",TRIM(B4)="Ipswich","Ipswich City Council",TRUE,"")</f>
        <v>Sunshine Coast Council</v>
      </c>
      <c r="D4" s="6" t="str" cm="1">
        <f t="array" ref="D4">_xlfn.IFS(TRIM(B4)="Sunshine Coast","Biosecurity &amp; Trade Waste Liquid Risk",TRIM(B4)="Moreton Bay","Commercial Effluent &amp; Sewer Network Blockage Risk",TRIM(B4)="Gold Coast","FOG (Fats, Oils &amp; Grease) Overload Risk",TRIM(B4)="Ipswich","Liquid Trade Waste Compliance &amp; Pathogen Risk",TRUE,"")</f>
        <v>Biosecurity &amp; Trade Waste Liquid Risk</v>
      </c>
      <c r="E4" s="6" t="str" cm="1">
        <f t="array" ref="E4">_xlfn.IFS(TRIM(B4)="Sunshine Coast","Grease Trap Maintenance Log &amp; Food Safety Supervisor Certificate Validation",TRIM(B4)="Moreton Bay","Unitywater Digital QR Code Tag Scan &amp; Settleable Solids Log",TRIM(B4)="Gold Coast","Licensed Liquid Waste Contractor Extraction &amp; Baffle Structural Check",TRIM(B4)="Ipswich","Urban Utilities Approved Sizing Metric &amp; 25% FOG Accumulation Audit",TRUE,"")</f>
        <v>Grease Trap Maintenance Log &amp; Food Safety Supervisor Certificate Validation</v>
      </c>
      <c r="F4" s="6" t="str" cm="1">
        <f t="array" ref="F4">_xlfn.IFS(TRIM(B4)="Sunshine Coast","A mandatory grease arrestor pump-out every 13 weeks minimum",TRIM(B4)="Moreton Bay","Mandatory compliance with Unitywater Trade Waste Policy &amp; scheduled pump-outs",TRIM(B4)="Gold Coast","All wastewater from food prep, floor wastes, and dishwashers must pass through approved trap",TRIM(B4)="Ipswich","Routine cleaning intervals mandated by Urban Utilities (ranging from 4 to 12 weeks)",TRUE,"")</f>
        <v>A mandatory grease arrestor pump-out every 13 weeks minimum</v>
      </c>
      <c r="G4" s="6" t="str" cm="1">
        <f t="array" ref="G4">_xlfn.IFS(TRIM(B4)="Sunshine Coast", "Unitywater Trade Waste Permit / MS Loop Food Folder", TRIM(B4)="Moreton Bay", "Water Supply (Safety and Reliability) Act 2008 / Unitywater Policy", TRIM(B4)="Gold Coast", "City of Gold Coast Liquid Trade Waste Guidelines", TRIM(B4)="Ipswich", "Urban Utilities Trade Waste Program / Ipswich Environmental Health Regs", TRUE, "")</f>
        <v>Unitywater Trade Waste Permit / MS Loop Food Folder</v>
      </c>
    </row>
    <row r="5" spans="1:9" ht="15.6" x14ac:dyDescent="0.3">
      <c r="A5" s="4" t="s">
        <v>34</v>
      </c>
      <c r="B5" s="6" t="s">
        <v>45</v>
      </c>
      <c r="C5" s="6" t="str" cm="1">
        <f t="array" ref="C5">_xlfn.IFS(TRIM(B5)="Sunshine Coast","Sunshine Coast Council",TRIM(B5)="Moreton Bay","City of Moreton Bay",TRIM(B5)="Gold Coast","City of Gold Coast",TRIM(B5)="Ipswich","Ipswich City Council",TRUE,"")</f>
        <v>City of Moreton Bay</v>
      </c>
      <c r="D5" s="6" t="str" cm="1">
        <f t="array" ref="D5">_xlfn.IFS(TRIM(B5)="Sunshine Coast","Biosecurity &amp; Trade Waste Liquid Risk",TRIM(B5)="Moreton Bay","Commercial Effluent &amp; Sewer Network Blockage Risk",TRIM(B5)="Gold Coast","FOG (Fats, Oils &amp; Grease) Overload Risk",TRIM(B5)="Ipswich","Liquid Trade Waste Compliance &amp; Pathogen Risk",TRUE,"")</f>
        <v>Commercial Effluent &amp; Sewer Network Blockage Risk</v>
      </c>
      <c r="E5" s="6" t="str" cm="1">
        <f t="array" ref="E5">_xlfn.IFS(TRIM(B5)="Sunshine Coast","Grease Trap Maintenance Log &amp; Food Safety Supervisor Certificate Validation",TRIM(B5)="Moreton Bay","Unitywater Digital QR Code Tag Scan &amp; Settleable Solids Log",TRIM(B5)="Gold Coast","Licensed Liquid Waste Contractor Extraction &amp; Baffle Structural Check",TRIM(B5)="Ipswich","Urban Utilities Approved Sizing Metric &amp; 25% FOG Accumulation Audit",TRUE,"")</f>
        <v>Unitywater Digital QR Code Tag Scan &amp; Settleable Solids Log</v>
      </c>
      <c r="F5" s="6" t="str" cm="1">
        <f t="array" ref="F5">_xlfn.IFS(TRIM(B5)="Sunshine Coast","A mandatory grease arrestor pump-out every 13 weeks minimum",TRIM(B5)="Moreton Bay","Mandatory compliance with Unitywater Trade Waste Policy &amp; scheduled pump-outs",TRIM(B5)="Gold Coast","All wastewater from food prep, floor wastes, and dishwashers must pass through approved trap",TRIM(B5)="Ipswich","Routine cleaning intervals mandated by Urban Utilities (ranging from 4 to 12 weeks)",TRUE,"")</f>
        <v>Mandatory compliance with Unitywater Trade Waste Policy &amp; scheduled pump-outs</v>
      </c>
      <c r="G5" s="6" t="str" cm="1">
        <f t="array" ref="G5">_xlfn.IFS(TRIM(B5)="Sunshine Coast", "Unitywater Trade Waste Permit / MS Loop Food Folder", TRIM(B5)="Moreton Bay", "Water Supply (Safety and Reliability) Act 2008 / Unitywater Policy", TRIM(B5)="Gold Coast", "City of Gold Coast Liquid Trade Waste Guidelines", TRIM(B5)="Ipswich", "Urban Utilities Trade Waste Program / Ipswich Environmental Health Regs", TRUE, "")</f>
        <v>Water Supply (Safety and Reliability) Act 2008 / Unitywater Policy</v>
      </c>
    </row>
    <row r="6" spans="1:9" ht="15.6" x14ac:dyDescent="0.3">
      <c r="A6" s="4" t="s">
        <v>32</v>
      </c>
      <c r="B6" s="6" t="s">
        <v>45</v>
      </c>
      <c r="C6" s="6" t="str" cm="1">
        <f t="array" ref="C6">_xlfn.IFS(TRIM(B6)="Sunshine Coast","Sunshine Coast Council",TRIM(B6)="Moreton Bay","City of Moreton Bay",TRIM(B6)="Gold Coast","City of Gold Coast",TRIM(B6)="Ipswich","Ipswich City Council",TRUE,"")</f>
        <v>City of Moreton Bay</v>
      </c>
      <c r="D6" s="6" t="str" cm="1">
        <f t="array" ref="D6">_xlfn.IFS(TRIM(B6)="Sunshine Coast","Biosecurity &amp; Trade Waste Liquid Risk",TRIM(B6)="Moreton Bay","Commercial Effluent &amp; Sewer Network Blockage Risk",TRIM(B6)="Gold Coast","FOG (Fats, Oils &amp; Grease) Overload Risk",TRIM(B6)="Ipswich","Liquid Trade Waste Compliance &amp; Pathogen Risk",TRUE,"")</f>
        <v>Commercial Effluent &amp; Sewer Network Blockage Risk</v>
      </c>
      <c r="E6" s="6" t="str" cm="1">
        <f t="array" ref="E6">_xlfn.IFS(TRIM(B6)="Sunshine Coast","Grease Trap Maintenance Log &amp; Food Safety Supervisor Certificate Validation",TRIM(B6)="Moreton Bay","Unitywater Digital QR Code Tag Scan &amp; Settleable Solids Log",TRIM(B6)="Gold Coast","Licensed Liquid Waste Contractor Extraction &amp; Baffle Structural Check",TRIM(B6)="Ipswich","Urban Utilities Approved Sizing Metric &amp; 25% FOG Accumulation Audit",TRUE,"")</f>
        <v>Unitywater Digital QR Code Tag Scan &amp; Settleable Solids Log</v>
      </c>
      <c r="F6" s="6" t="str" cm="1">
        <f t="array" ref="F6">_xlfn.IFS(TRIM(B6)="Sunshine Coast","A mandatory grease arrestor pump-out every 13 weeks minimum",TRIM(B6)="Moreton Bay","Mandatory compliance with Unitywater Trade Waste Policy &amp; scheduled pump-outs",TRIM(B6)="Gold Coast","All wastewater from food prep, floor wastes, and dishwashers must pass through approved trap",TRIM(B6)="Ipswich","Routine cleaning intervals mandated by Urban Utilities (ranging from 4 to 12 weeks)",TRUE,"")</f>
        <v>Mandatory compliance with Unitywater Trade Waste Policy &amp; scheduled pump-outs</v>
      </c>
      <c r="G6" s="6" t="str" cm="1">
        <f t="array" ref="G6">_xlfn.IFS(TRIM(B6)="Sunshine Coast", "Unitywater Trade Waste Permit / MS Loop Food Folder", TRIM(B6)="Moreton Bay", "Water Supply (Safety and Reliability) Act 2008 / Unitywater Policy", TRIM(B6)="Gold Coast", "City of Gold Coast Liquid Trade Waste Guidelines", TRIM(B6)="Ipswich", "Urban Utilities Trade Waste Program / Ipswich Environmental Health Regs", TRUE, "")</f>
        <v>Water Supply (Safety and Reliability) Act 2008 / Unitywater Policy</v>
      </c>
    </row>
    <row r="7" spans="1:9" ht="15.6" x14ac:dyDescent="0.3">
      <c r="A7" s="4" t="s">
        <v>19</v>
      </c>
      <c r="B7" s="6" t="s">
        <v>44</v>
      </c>
      <c r="C7" s="6" t="str" cm="1">
        <f t="array" ref="C7">_xlfn.IFS(TRIM(B7)="Sunshine Coast","Sunshine Coast Council",TRIM(B7)="Moreton Bay","City of Moreton Bay",TRIM(B7)="Gold Coast","City of Gold Coast",TRIM(B7)="Ipswich","Ipswich City Council",TRUE,"")</f>
        <v>City of Gold Coast</v>
      </c>
      <c r="D7" s="6" t="str" cm="1">
        <f t="array" ref="D7">_xlfn.IFS(TRIM(B7)="Sunshine Coast","Biosecurity &amp; Trade Waste Liquid Risk",TRIM(B7)="Moreton Bay","Commercial Effluent &amp; Sewer Network Blockage Risk",TRIM(B7)="Gold Coast","FOG (Fats, Oils &amp; Grease) Overload Risk",TRIM(B7)="Ipswich","Liquid Trade Waste Compliance &amp; Pathogen Risk",TRUE,"")</f>
        <v>FOG (Fats, Oils &amp; Grease) Overload Risk</v>
      </c>
      <c r="E7" s="6" t="str" cm="1">
        <f t="array" ref="E7">_xlfn.IFS(TRIM(B7)="Sunshine Coast","Grease Trap Maintenance Log &amp; Food Safety Supervisor Certificate Validation",TRIM(B7)="Moreton Bay","Unitywater Digital QR Code Tag Scan &amp; Settleable Solids Log",TRIM(B7)="Gold Coast","Licensed Liquid Waste Contractor Extraction &amp; Baffle Structural Check",TRIM(B7)="Ipswich","Urban Utilities Approved Sizing Metric &amp; 25% FOG Accumulation Audit",TRUE,"")</f>
        <v>Licensed Liquid Waste Contractor Extraction &amp; Baffle Structural Check</v>
      </c>
      <c r="F7" s="6" t="str" cm="1">
        <f t="array" ref="F7">_xlfn.IFS(TRIM(B7)="Sunshine Coast","A mandatory grease arrestor pump-out every 13 weeks minimum",TRIM(B7)="Moreton Bay","Mandatory compliance with Unitywater Trade Waste Policy &amp; scheduled pump-outs",TRIM(B7)="Gold Coast","All wastewater from food prep, floor wastes, and dishwashers must pass through approved trap",TRIM(B7)="Ipswich","Routine cleaning intervals mandated by Urban Utilities (ranging from 4 to 12 weeks)",TRUE,"")</f>
        <v>All wastewater from food prep, floor wastes, and dishwashers must pass through approved trap</v>
      </c>
      <c r="G7" s="6" t="str" cm="1">
        <f t="array" ref="G7">_xlfn.IFS(TRIM(B7)="Sunshine Coast", "Unitywater Trade Waste Permit / MS Loop Food Folder", TRIM(B7)="Moreton Bay", "Water Supply (Safety and Reliability) Act 2008 / Unitywater Policy", TRIM(B7)="Gold Coast", "City of Gold Coast Liquid Trade Waste Guidelines", TRIM(B7)="Ipswich", "Urban Utilities Trade Waste Program / Ipswich Environmental Health Regs", TRUE, "")</f>
        <v>City of Gold Coast Liquid Trade Waste Guidelines</v>
      </c>
    </row>
    <row r="8" spans="1:9" ht="15.6" x14ac:dyDescent="0.3">
      <c r="A8" s="4" t="s">
        <v>36</v>
      </c>
      <c r="B8" s="6" t="s">
        <v>45</v>
      </c>
      <c r="C8" s="6" t="str" cm="1">
        <f t="array" ref="C8">_xlfn.IFS(TRIM(B8)="Sunshine Coast","Sunshine Coast Council",TRIM(B8)="Moreton Bay","City of Moreton Bay",TRIM(B8)="Gold Coast","City of Gold Coast",TRIM(B8)="Ipswich","Ipswich City Council",TRUE,"")</f>
        <v>City of Moreton Bay</v>
      </c>
      <c r="D8" s="6" t="str" cm="1">
        <f t="array" ref="D8">_xlfn.IFS(TRIM(B8)="Sunshine Coast","Biosecurity &amp; Trade Waste Liquid Risk",TRIM(B8)="Moreton Bay","Commercial Effluent &amp; Sewer Network Blockage Risk",TRIM(B8)="Gold Coast","FOG (Fats, Oils &amp; Grease) Overload Risk",TRIM(B8)="Ipswich","Liquid Trade Waste Compliance &amp; Pathogen Risk",TRUE,"")</f>
        <v>Commercial Effluent &amp; Sewer Network Blockage Risk</v>
      </c>
      <c r="E8" s="6" t="str" cm="1">
        <f t="array" ref="E8">_xlfn.IFS(TRIM(B8)="Sunshine Coast","Grease Trap Maintenance Log &amp; Food Safety Supervisor Certificate Validation",TRIM(B8)="Moreton Bay","Unitywater Digital QR Code Tag Scan &amp; Settleable Solids Log",TRIM(B8)="Gold Coast","Licensed Liquid Waste Contractor Extraction &amp; Baffle Structural Check",TRIM(B8)="Ipswich","Urban Utilities Approved Sizing Metric &amp; 25% FOG Accumulation Audit",TRUE,"")</f>
        <v>Unitywater Digital QR Code Tag Scan &amp; Settleable Solids Log</v>
      </c>
      <c r="F8" s="6" t="str" cm="1">
        <f t="array" ref="F8">_xlfn.IFS(TRIM(B8)="Sunshine Coast","A mandatory grease arrestor pump-out every 13 weeks minimum",TRIM(B8)="Moreton Bay","Mandatory compliance with Unitywater Trade Waste Policy &amp; scheduled pump-outs",TRIM(B8)="Gold Coast","All wastewater from food prep, floor wastes, and dishwashers must pass through approved trap",TRIM(B8)="Ipswich","Routine cleaning intervals mandated by Urban Utilities (ranging from 4 to 12 weeks)",TRUE,"")</f>
        <v>Mandatory compliance with Unitywater Trade Waste Policy &amp; scheduled pump-outs</v>
      </c>
      <c r="G8" s="6" t="str" cm="1">
        <f t="array" ref="G8">_xlfn.IFS(TRIM(B8)="Sunshine Coast", "Unitywater Trade Waste Permit / MS Loop Food Folder", TRIM(B8)="Moreton Bay", "Water Supply (Safety and Reliability) Act 2008 / Unitywater Policy", TRIM(B8)="Gold Coast", "City of Gold Coast Liquid Trade Waste Guidelines", TRIM(B8)="Ipswich", "Urban Utilities Trade Waste Program / Ipswich Environmental Health Regs", TRUE, "")</f>
        <v>Water Supply (Safety and Reliability) Act 2008 / Unitywater Policy</v>
      </c>
    </row>
    <row r="9" spans="1:9" ht="15" x14ac:dyDescent="0.3">
      <c r="A9" s="2" t="s">
        <v>47</v>
      </c>
      <c r="B9" s="5" t="s">
        <v>43</v>
      </c>
      <c r="C9" s="6" t="str" cm="1">
        <f t="array" ref="C9">_xlfn.IFS(TRIM(B9)="Sunshine Coast","Sunshine Coast Council",TRIM(B9)="Moreton Bay","City of Moreton Bay",TRIM(B9)="Gold Coast","City of Gold Coast",TRIM(B9)="Ipswich","Ipswich City Council",TRUE,"")</f>
        <v>Sunshine Coast Council</v>
      </c>
      <c r="D9" s="6" t="str" cm="1">
        <f t="array" ref="D9">_xlfn.IFS(TRIM(B9)="Sunshine Coast","Biosecurity &amp; Trade Waste Liquid Risk",TRIM(B9)="Moreton Bay","Commercial Effluent &amp; Sewer Network Blockage Risk",TRIM(B9)="Gold Coast","FOG (Fats, Oils &amp; Grease) Overload Risk",TRIM(B9)="Ipswich","Liquid Trade Waste Compliance &amp; Pathogen Risk",TRUE,"")</f>
        <v>Biosecurity &amp; Trade Waste Liquid Risk</v>
      </c>
      <c r="E9" s="6" t="str" cm="1">
        <f t="array" ref="E9">_xlfn.IFS(TRIM(B9)="Sunshine Coast","Grease Trap Maintenance Log &amp; Food Safety Supervisor Certificate Validation",TRIM(B9)="Moreton Bay","Unitywater Digital QR Code Tag Scan &amp; Settleable Solids Log",TRIM(B9)="Gold Coast","Licensed Liquid Waste Contractor Extraction &amp; Baffle Structural Check",TRIM(B9)="Ipswich","Urban Utilities Approved Sizing Metric &amp; 25% FOG Accumulation Audit",TRUE,"")</f>
        <v>Grease Trap Maintenance Log &amp; Food Safety Supervisor Certificate Validation</v>
      </c>
      <c r="F9" s="6" t="str" cm="1">
        <f t="array" ref="F9">_xlfn.IFS(TRIM(B9)="Sunshine Coast","A mandatory grease arrestor pump-out every 13 weeks minimum",TRIM(B9)="Moreton Bay","Mandatory compliance with Unitywater Trade Waste Policy &amp; scheduled pump-outs",TRIM(B9)="Gold Coast","All wastewater from food prep, floor wastes, and dishwashers must pass through approved trap",TRIM(B9)="Ipswich","Routine cleaning intervals mandated by Urban Utilities (ranging from 4 to 12 weeks)",TRUE,"")</f>
        <v>A mandatory grease arrestor pump-out every 13 weeks minimum</v>
      </c>
      <c r="G9" s="6" t="str" cm="1">
        <f t="array" ref="G9">_xlfn.IFS(TRIM(B9)="Sunshine Coast", "Unitywater Trade Waste Permit / MS Loop Food Folder", TRIM(B9)="Moreton Bay", "Water Supply (Safety and Reliability) Act 2008 / Unitywater Policy", TRIM(B9)="Gold Coast", "City of Gold Coast Liquid Trade Waste Guidelines", TRIM(B9)="Ipswich", "Urban Utilities Trade Waste Program / Ipswich Environmental Health Regs", TRUE, "")</f>
        <v>Unitywater Trade Waste Permit / MS Loop Food Folder</v>
      </c>
    </row>
    <row r="10" spans="1:9" ht="15" x14ac:dyDescent="0.3">
      <c r="A10" s="3" t="s">
        <v>5</v>
      </c>
      <c r="B10" s="6" t="s">
        <v>43</v>
      </c>
      <c r="C10" s="6" t="str" cm="1">
        <f t="array" ref="C10">_xlfn.IFS(TRIM(B10)="Sunshine Coast","Sunshine Coast Council",TRIM(B10)="Moreton Bay","City of Moreton Bay",TRIM(B10)="Gold Coast","City of Gold Coast",TRIM(B10)="Ipswich","Ipswich City Council",TRUE,"")</f>
        <v>Sunshine Coast Council</v>
      </c>
      <c r="D10" s="6" t="str" cm="1">
        <f t="array" ref="D10">_xlfn.IFS(TRIM(B10)="Sunshine Coast","Biosecurity &amp; Trade Waste Liquid Risk",TRIM(B10)="Moreton Bay","Commercial Effluent &amp; Sewer Network Blockage Risk",TRIM(B10)="Gold Coast","FOG (Fats, Oils &amp; Grease) Overload Risk",TRIM(B10)="Ipswich","Liquid Trade Waste Compliance &amp; Pathogen Risk",TRUE,"")</f>
        <v>Biosecurity &amp; Trade Waste Liquid Risk</v>
      </c>
      <c r="E10" s="6" t="str" cm="1">
        <f t="array" ref="E10">_xlfn.IFS(TRIM(B10)="Sunshine Coast","Grease Trap Maintenance Log &amp; Food Safety Supervisor Certificate Validation",TRIM(B10)="Moreton Bay","Unitywater Digital QR Code Tag Scan &amp; Settleable Solids Log",TRIM(B10)="Gold Coast","Licensed Liquid Waste Contractor Extraction &amp; Baffle Structural Check",TRIM(B10)="Ipswich","Urban Utilities Approved Sizing Metric &amp; 25% FOG Accumulation Audit",TRUE,"")</f>
        <v>Grease Trap Maintenance Log &amp; Food Safety Supervisor Certificate Validation</v>
      </c>
      <c r="F10" s="6" t="str" cm="1">
        <f t="array" ref="F10">_xlfn.IFS(TRIM(B10)="Sunshine Coast","A mandatory grease arrestor pump-out every 13 weeks minimum",TRIM(B10)="Moreton Bay","Mandatory compliance with Unitywater Trade Waste Policy &amp; scheduled pump-outs",TRIM(B10)="Gold Coast","All wastewater from food prep, floor wastes, and dishwashers must pass through approved trap",TRIM(B10)="Ipswich","Routine cleaning intervals mandated by Urban Utilities (ranging from 4 to 12 weeks)",TRUE,"")</f>
        <v>A mandatory grease arrestor pump-out every 13 weeks minimum</v>
      </c>
      <c r="G10" s="6" t="str" cm="1">
        <f t="array" ref="G10">_xlfn.IFS(TRIM(B10)="Sunshine Coast", "Unitywater Trade Waste Permit / MS Loop Food Folder", TRIM(B10)="Moreton Bay", "Water Supply (Safety and Reliability) Act 2008 / Unitywater Policy", TRIM(B10)="Gold Coast", "City of Gold Coast Liquid Trade Waste Guidelines", TRIM(B10)="Ipswich", "Urban Utilities Trade Waste Program / Ipswich Environmental Health Regs", TRUE, "")</f>
        <v>Unitywater Trade Waste Permit / MS Loop Food Folder</v>
      </c>
    </row>
    <row r="11" spans="1:9" ht="15" x14ac:dyDescent="0.3">
      <c r="A11" s="3" t="s">
        <v>1</v>
      </c>
      <c r="B11" s="6" t="s">
        <v>43</v>
      </c>
      <c r="C11" s="6" t="str" cm="1">
        <f t="array" ref="C11">_xlfn.IFS(TRIM(B11)="Sunshine Coast","Sunshine Coast Council",TRIM(B11)="Moreton Bay","City of Moreton Bay",TRIM(B11)="Gold Coast","City of Gold Coast",TRIM(B11)="Ipswich","Ipswich City Council",TRUE,"")</f>
        <v>Sunshine Coast Council</v>
      </c>
      <c r="D11" s="6" t="str" cm="1">
        <f t="array" ref="D11">_xlfn.IFS(TRIM(B11)="Sunshine Coast","Biosecurity &amp; Trade Waste Liquid Risk",TRIM(B11)="Moreton Bay","Commercial Effluent &amp; Sewer Network Blockage Risk",TRIM(B11)="Gold Coast","FOG (Fats, Oils &amp; Grease) Overload Risk",TRIM(B11)="Ipswich","Liquid Trade Waste Compliance &amp; Pathogen Risk",TRUE,"")</f>
        <v>Biosecurity &amp; Trade Waste Liquid Risk</v>
      </c>
      <c r="E11" s="6" t="str" cm="1">
        <f t="array" ref="E11">_xlfn.IFS(TRIM(B11)="Sunshine Coast","Grease Trap Maintenance Log &amp; Food Safety Supervisor Certificate Validation",TRIM(B11)="Moreton Bay","Unitywater Digital QR Code Tag Scan &amp; Settleable Solids Log",TRIM(B11)="Gold Coast","Licensed Liquid Waste Contractor Extraction &amp; Baffle Structural Check",TRIM(B11)="Ipswich","Urban Utilities Approved Sizing Metric &amp; 25% FOG Accumulation Audit",TRUE,"")</f>
        <v>Grease Trap Maintenance Log &amp; Food Safety Supervisor Certificate Validation</v>
      </c>
      <c r="F11" s="6" t="str" cm="1">
        <f t="array" ref="F11">_xlfn.IFS(TRIM(B11)="Sunshine Coast","A mandatory grease arrestor pump-out every 13 weeks minimum",TRIM(B11)="Moreton Bay","Mandatory compliance with Unitywater Trade Waste Policy &amp; scheduled pump-outs",TRIM(B11)="Gold Coast","All wastewater from food prep, floor wastes, and dishwashers must pass through approved trap",TRIM(B11)="Ipswich","Routine cleaning intervals mandated by Urban Utilities (ranging from 4 to 12 weeks)",TRUE,"")</f>
        <v>A mandatory grease arrestor pump-out every 13 weeks minimum</v>
      </c>
      <c r="G11" s="6" t="str" cm="1">
        <f t="array" ref="G11">_xlfn.IFS(TRIM(B11)="Sunshine Coast", "Unitywater Trade Waste Permit / MS Loop Food Folder", TRIM(B11)="Moreton Bay", "Water Supply (Safety and Reliability) Act 2008 / Unitywater Policy", TRIM(B11)="Gold Coast", "City of Gold Coast Liquid Trade Waste Guidelines", TRIM(B11)="Ipswich", "Urban Utilities Trade Waste Program / Ipswich Environmental Health Regs", TRUE, "")</f>
        <v>Unitywater Trade Waste Permit / MS Loop Food Folder</v>
      </c>
    </row>
    <row r="12" spans="1:9" ht="15.6" x14ac:dyDescent="0.3">
      <c r="A12" s="4" t="s">
        <v>21</v>
      </c>
      <c r="B12" s="6" t="s">
        <v>44</v>
      </c>
      <c r="C12" s="6" t="str" cm="1">
        <f t="array" ref="C12">_xlfn.IFS(TRIM(B12)="Sunshine Coast","Sunshine Coast Council",TRIM(B12)="Moreton Bay","City of Moreton Bay",TRIM(B12)="Gold Coast","City of Gold Coast",TRIM(B12)="Ipswich","Ipswich City Council",TRUE,"")</f>
        <v>City of Gold Coast</v>
      </c>
      <c r="D12" s="6" t="str" cm="1">
        <f t="array" ref="D12">_xlfn.IFS(TRIM(B12)="Sunshine Coast","Biosecurity &amp; Trade Waste Liquid Risk",TRIM(B12)="Moreton Bay","Commercial Effluent &amp; Sewer Network Blockage Risk",TRIM(B12)="Gold Coast","FOG (Fats, Oils &amp; Grease) Overload Risk",TRIM(B12)="Ipswich","Liquid Trade Waste Compliance &amp; Pathogen Risk",TRUE,"")</f>
        <v>FOG (Fats, Oils &amp; Grease) Overload Risk</v>
      </c>
      <c r="E12" s="6" t="str" cm="1">
        <f t="array" ref="E12">_xlfn.IFS(TRIM(B12)="Sunshine Coast","Grease Trap Maintenance Log &amp; Food Safety Supervisor Certificate Validation",TRIM(B12)="Moreton Bay","Unitywater Digital QR Code Tag Scan &amp; Settleable Solids Log",TRIM(B12)="Gold Coast","Licensed Liquid Waste Contractor Extraction &amp; Baffle Structural Check",TRIM(B12)="Ipswich","Urban Utilities Approved Sizing Metric &amp; 25% FOG Accumulation Audit",TRUE,"")</f>
        <v>Licensed Liquid Waste Contractor Extraction &amp; Baffle Structural Check</v>
      </c>
      <c r="F12" s="6" t="str" cm="1">
        <f t="array" ref="F12">_xlfn.IFS(TRIM(B12)="Sunshine Coast","A mandatory grease arrestor pump-out every 13 weeks minimum",TRIM(B12)="Moreton Bay","Mandatory compliance with Unitywater Trade Waste Policy &amp; scheduled pump-outs",TRIM(B12)="Gold Coast","All wastewater from food prep, floor wastes, and dishwashers must pass through approved trap",TRIM(B12)="Ipswich","Routine cleaning intervals mandated by Urban Utilities (ranging from 4 to 12 weeks)",TRUE,"")</f>
        <v>All wastewater from food prep, floor wastes, and dishwashers must pass through approved trap</v>
      </c>
      <c r="G12" s="6" t="str" cm="1">
        <f t="array" ref="G12">_xlfn.IFS(TRIM(B12)="Sunshine Coast", "Unitywater Trade Waste Permit / MS Loop Food Folder", TRIM(B12)="Moreton Bay", "Water Supply (Safety and Reliability) Act 2008 / Unitywater Policy", TRIM(B12)="Gold Coast", "City of Gold Coast Liquid Trade Waste Guidelines", TRIM(B12)="Ipswich", "Urban Utilities Trade Waste Program / Ipswich Environmental Health Regs", TRUE, "")</f>
        <v>City of Gold Coast Liquid Trade Waste Guidelines</v>
      </c>
    </row>
    <row r="13" spans="1:9" ht="15.6" x14ac:dyDescent="0.3">
      <c r="A13" s="4" t="s">
        <v>20</v>
      </c>
      <c r="B13" s="6" t="s">
        <v>44</v>
      </c>
      <c r="C13" s="6" t="str" cm="1">
        <f t="array" ref="C13">_xlfn.IFS(TRIM(B13)="Sunshine Coast","Sunshine Coast Council",TRIM(B13)="Moreton Bay","City of Moreton Bay",TRIM(B13)="Gold Coast","City of Gold Coast",TRIM(B13)="Ipswich","Ipswich City Council",TRUE,"")</f>
        <v>City of Gold Coast</v>
      </c>
      <c r="D13" s="6" t="str" cm="1">
        <f t="array" ref="D13">_xlfn.IFS(TRIM(B13)="Sunshine Coast","Biosecurity &amp; Trade Waste Liquid Risk",TRIM(B13)="Moreton Bay","Commercial Effluent &amp; Sewer Network Blockage Risk",TRIM(B13)="Gold Coast","FOG (Fats, Oils &amp; Grease) Overload Risk",TRIM(B13)="Ipswich","Liquid Trade Waste Compliance &amp; Pathogen Risk",TRUE,"")</f>
        <v>FOG (Fats, Oils &amp; Grease) Overload Risk</v>
      </c>
      <c r="E13" s="6" t="str" cm="1">
        <f t="array" ref="E13">_xlfn.IFS(TRIM(B13)="Sunshine Coast","Grease Trap Maintenance Log &amp; Food Safety Supervisor Certificate Validation",TRIM(B13)="Moreton Bay","Unitywater Digital QR Code Tag Scan &amp; Settleable Solids Log",TRIM(B13)="Gold Coast","Licensed Liquid Waste Contractor Extraction &amp; Baffle Structural Check",TRIM(B13)="Ipswich","Urban Utilities Approved Sizing Metric &amp; 25% FOG Accumulation Audit",TRUE,"")</f>
        <v>Licensed Liquid Waste Contractor Extraction &amp; Baffle Structural Check</v>
      </c>
      <c r="F13" s="6" t="str" cm="1">
        <f t="array" ref="F13">_xlfn.IFS(TRIM(B13)="Sunshine Coast","A mandatory grease arrestor pump-out every 13 weeks minimum",TRIM(B13)="Moreton Bay","Mandatory compliance with Unitywater Trade Waste Policy &amp; scheduled pump-outs",TRIM(B13)="Gold Coast","All wastewater from food prep, floor wastes, and dishwashers must pass through approved trap",TRIM(B13)="Ipswich","Routine cleaning intervals mandated by Urban Utilities (ranging from 4 to 12 weeks)",TRUE,"")</f>
        <v>All wastewater from food prep, floor wastes, and dishwashers must pass through approved trap</v>
      </c>
      <c r="G13" s="6" t="str" cm="1">
        <f t="array" ref="G13">_xlfn.IFS(TRIM(B13)="Sunshine Coast", "Unitywater Trade Waste Permit / MS Loop Food Folder", TRIM(B13)="Moreton Bay", "Water Supply (Safety and Reliability) Act 2008 / Unitywater Policy", TRIM(B13)="Gold Coast", "City of Gold Coast Liquid Trade Waste Guidelines", TRIM(B13)="Ipswich", "Urban Utilities Trade Waste Program / Ipswich Environmental Health Regs", TRUE, "")</f>
        <v>City of Gold Coast Liquid Trade Waste Guidelines</v>
      </c>
    </row>
    <row r="14" spans="1:9" ht="15.6" x14ac:dyDescent="0.3">
      <c r="A14" s="4" t="s">
        <v>46</v>
      </c>
      <c r="B14" s="6" t="s">
        <v>38</v>
      </c>
      <c r="C14" s="6" t="str" cm="1">
        <f t="array" ref="C14">_xlfn.IFS(TRIM(B14)="Sunshine Coast","Sunshine Coast Council",TRIM(B14)="Moreton Bay","City of Moreton Bay",TRIM(B14)="Gold Coast","City of Gold Coast",TRIM(B14)="Ipswich","Ipswich City Council",TRUE,"")</f>
        <v>Ipswich City Council</v>
      </c>
      <c r="D14" s="6" t="str" cm="1">
        <f t="array" ref="D14">_xlfn.IFS(TRIM(B14)="Sunshine Coast","Biosecurity &amp; Trade Waste Liquid Risk",TRIM(B14)="Moreton Bay","Commercial Effluent &amp; Sewer Network Blockage Risk",TRIM(B14)="Gold Coast","FOG (Fats, Oils &amp; Grease) Overload Risk",TRIM(B14)="Ipswich","Liquid Trade Waste Compliance &amp; Pathogen Risk",TRUE,"")</f>
        <v>Liquid Trade Waste Compliance &amp; Pathogen Risk</v>
      </c>
      <c r="E14" s="6" t="str" cm="1">
        <f t="array" ref="E14">_xlfn.IFS(TRIM(B14)="Sunshine Coast","Grease Trap Maintenance Log &amp; Food Safety Supervisor Certificate Validation",TRIM(B14)="Moreton Bay","Unitywater Digital QR Code Tag Scan &amp; Settleable Solids Log",TRIM(B14)="Gold Coast","Licensed Liquid Waste Contractor Extraction &amp; Baffle Structural Check",TRIM(B14)="Ipswich","Urban Utilities Approved Sizing Metric &amp; 25% FOG Accumulation Audit",TRUE,"")</f>
        <v>Urban Utilities Approved Sizing Metric &amp; 25% FOG Accumulation Audit</v>
      </c>
      <c r="F14" s="6" t="str" cm="1">
        <f t="array" ref="F14">_xlfn.IFS(TRIM(B14)="Sunshine Coast","A mandatory grease arrestor pump-out every 13 weeks minimum",TRIM(B14)="Moreton Bay","Mandatory compliance with Unitywater Trade Waste Policy &amp; scheduled pump-outs",TRIM(B14)="Gold Coast","All wastewater from food prep, floor wastes, and dishwashers must pass through approved trap",TRIM(B14)="Ipswich","Routine cleaning intervals mandated by Urban Utilities (ranging from 4 to 12 weeks)",TRUE,"")</f>
        <v>Routine cleaning intervals mandated by Urban Utilities (ranging from 4 to 12 weeks)</v>
      </c>
      <c r="G14" s="6" t="str" cm="1">
        <f t="array" ref="G14">_xlfn.IFS(TRIM(B14)="Sunshine Coast", "Unitywater Trade Waste Permit / MS Loop Food Folder", TRIM(B14)="Moreton Bay", "Water Supply (Safety and Reliability) Act 2008 / Unitywater Policy", TRIM(B14)="Gold Coast", "City of Gold Coast Liquid Trade Waste Guidelines", TRIM(B14)="Ipswich", "Urban Utilities Trade Waste Program / Ipswich Environmental Health Regs", TRUE, "")</f>
        <v>Urban Utilities Trade Waste Program / Ipswich Environmental Health Regs</v>
      </c>
    </row>
    <row r="15" spans="1:9" ht="15.6" x14ac:dyDescent="0.3">
      <c r="A15" s="4" t="s">
        <v>30</v>
      </c>
      <c r="B15" s="6" t="s">
        <v>45</v>
      </c>
      <c r="C15" s="6" t="str" cm="1">
        <f t="array" ref="C15">_xlfn.IFS(TRIM(B15)="Sunshine Coast","Sunshine Coast Council",TRIM(B15)="Moreton Bay","City of Moreton Bay",TRIM(B15)="Gold Coast","City of Gold Coast",TRIM(B15)="Ipswich","Ipswich City Council",TRUE,"")</f>
        <v>City of Moreton Bay</v>
      </c>
      <c r="D15" s="6" t="str" cm="1">
        <f t="array" ref="D15">_xlfn.IFS(TRIM(B15)="Sunshine Coast","Biosecurity &amp; Trade Waste Liquid Risk",TRIM(B15)="Moreton Bay","Commercial Effluent &amp; Sewer Network Blockage Risk",TRIM(B15)="Gold Coast","FOG (Fats, Oils &amp; Grease) Overload Risk",TRIM(B15)="Ipswich","Liquid Trade Waste Compliance &amp; Pathogen Risk",TRUE,"")</f>
        <v>Commercial Effluent &amp; Sewer Network Blockage Risk</v>
      </c>
      <c r="E15" s="6" t="str" cm="1">
        <f t="array" ref="E15">_xlfn.IFS(TRIM(B15)="Sunshine Coast","Grease Trap Maintenance Log &amp; Food Safety Supervisor Certificate Validation",TRIM(B15)="Moreton Bay","Unitywater Digital QR Code Tag Scan &amp; Settleable Solids Log",TRIM(B15)="Gold Coast","Licensed Liquid Waste Contractor Extraction &amp; Baffle Structural Check",TRIM(B15)="Ipswich","Urban Utilities Approved Sizing Metric &amp; 25% FOG Accumulation Audit",TRUE,"")</f>
        <v>Unitywater Digital QR Code Tag Scan &amp; Settleable Solids Log</v>
      </c>
      <c r="F15" s="6" t="str" cm="1">
        <f t="array" ref="F15">_xlfn.IFS(TRIM(B15)="Sunshine Coast","A mandatory grease arrestor pump-out every 13 weeks minimum",TRIM(B15)="Moreton Bay","Mandatory compliance with Unitywater Trade Waste Policy &amp; scheduled pump-outs",TRIM(B15)="Gold Coast","All wastewater from food prep, floor wastes, and dishwashers must pass through approved trap",TRIM(B15)="Ipswich","Routine cleaning intervals mandated by Urban Utilities (ranging from 4 to 12 weeks)",TRUE,"")</f>
        <v>Mandatory compliance with Unitywater Trade Waste Policy &amp; scheduled pump-outs</v>
      </c>
      <c r="G15" s="6" t="str" cm="1">
        <f t="array" ref="G15">_xlfn.IFS(TRIM(B15)="Sunshine Coast", "Unitywater Trade Waste Permit / MS Loop Food Folder", TRIM(B15)="Moreton Bay", "Water Supply (Safety and Reliability) Act 2008 / Unitywater Policy", TRIM(B15)="Gold Coast", "City of Gold Coast Liquid Trade Waste Guidelines", TRIM(B15)="Ipswich", "Urban Utilities Trade Waste Program / Ipswich Environmental Health Regs", TRUE, "")</f>
        <v>Water Supply (Safety and Reliability) Act 2008 / Unitywater Policy</v>
      </c>
    </row>
    <row r="16" spans="1:9" ht="15.6" x14ac:dyDescent="0.3">
      <c r="A16" s="4" t="s">
        <v>25</v>
      </c>
      <c r="B16" s="6" t="s">
        <v>45</v>
      </c>
      <c r="C16" s="6" t="str" cm="1">
        <f t="array" ref="C16">_xlfn.IFS(TRIM(B16)="Sunshine Coast","Sunshine Coast Council",TRIM(B16)="Moreton Bay","City of Moreton Bay",TRIM(B16)="Gold Coast","City of Gold Coast",TRIM(B16)="Ipswich","Ipswich City Council",TRUE,"")</f>
        <v>City of Moreton Bay</v>
      </c>
      <c r="D16" s="6" t="str" cm="1">
        <f t="array" ref="D16">_xlfn.IFS(TRIM(B16)="Sunshine Coast","Biosecurity &amp; Trade Waste Liquid Risk",TRIM(B16)="Moreton Bay","Commercial Effluent &amp; Sewer Network Blockage Risk",TRIM(B16)="Gold Coast","FOG (Fats, Oils &amp; Grease) Overload Risk",TRIM(B16)="Ipswich","Liquid Trade Waste Compliance &amp; Pathogen Risk",TRUE,"")</f>
        <v>Commercial Effluent &amp; Sewer Network Blockage Risk</v>
      </c>
      <c r="E16" s="6" t="str" cm="1">
        <f t="array" ref="E16">_xlfn.IFS(TRIM(B16)="Sunshine Coast","Grease Trap Maintenance Log &amp; Food Safety Supervisor Certificate Validation",TRIM(B16)="Moreton Bay","Unitywater Digital QR Code Tag Scan &amp; Settleable Solids Log",TRIM(B16)="Gold Coast","Licensed Liquid Waste Contractor Extraction &amp; Baffle Structural Check",TRIM(B16)="Ipswich","Urban Utilities Approved Sizing Metric &amp; 25% FOG Accumulation Audit",TRUE,"")</f>
        <v>Unitywater Digital QR Code Tag Scan &amp; Settleable Solids Log</v>
      </c>
      <c r="F16" s="6" t="str" cm="1">
        <f t="array" ref="F16">_xlfn.IFS(TRIM(B16)="Sunshine Coast","A mandatory grease arrestor pump-out every 13 weeks minimum",TRIM(B16)="Moreton Bay","Mandatory compliance with Unitywater Trade Waste Policy &amp; scheduled pump-outs",TRIM(B16)="Gold Coast","All wastewater from food prep, floor wastes, and dishwashers must pass through approved trap",TRIM(B16)="Ipswich","Routine cleaning intervals mandated by Urban Utilities (ranging from 4 to 12 weeks)",TRUE,"")</f>
        <v>Mandatory compliance with Unitywater Trade Waste Policy &amp; scheduled pump-outs</v>
      </c>
      <c r="G16" s="6" t="str" cm="1">
        <f t="array" ref="G16">_xlfn.IFS(TRIM(B16)="Sunshine Coast", "Unitywater Trade Waste Permit / MS Loop Food Folder", TRIM(B16)="Moreton Bay", "Water Supply (Safety and Reliability) Act 2008 / Unitywater Policy", TRIM(B16)="Gold Coast", "City of Gold Coast Liquid Trade Waste Guidelines", TRIM(B16)="Ipswich", "Urban Utilities Trade Waste Program / Ipswich Environmental Health Regs", TRUE, "")</f>
        <v>Water Supply (Safety and Reliability) Act 2008 / Unitywater Policy</v>
      </c>
    </row>
    <row r="17" spans="1:7" ht="15" x14ac:dyDescent="0.3">
      <c r="A17" s="3" t="s">
        <v>3</v>
      </c>
      <c r="B17" s="6" t="s">
        <v>43</v>
      </c>
      <c r="C17" s="6" t="str" cm="1">
        <f t="array" ref="C17">_xlfn.IFS(TRIM(B17)="Sunshine Coast","Sunshine Coast Council",TRIM(B17)="Moreton Bay","City of Moreton Bay",TRIM(B17)="Gold Coast","City of Gold Coast",TRIM(B17)="Ipswich","Ipswich City Council",TRUE,"")</f>
        <v>Sunshine Coast Council</v>
      </c>
      <c r="D17" s="6" t="str" cm="1">
        <f t="array" ref="D17">_xlfn.IFS(TRIM(B17)="Sunshine Coast","Biosecurity &amp; Trade Waste Liquid Risk",TRIM(B17)="Moreton Bay","Commercial Effluent &amp; Sewer Network Blockage Risk",TRIM(B17)="Gold Coast","FOG (Fats, Oils &amp; Grease) Overload Risk",TRIM(B17)="Ipswich","Liquid Trade Waste Compliance &amp; Pathogen Risk",TRUE,"")</f>
        <v>Biosecurity &amp; Trade Waste Liquid Risk</v>
      </c>
      <c r="E17" s="6" t="str" cm="1">
        <f t="array" ref="E17">_xlfn.IFS(TRIM(B17)="Sunshine Coast","Grease Trap Maintenance Log &amp; Food Safety Supervisor Certificate Validation",TRIM(B17)="Moreton Bay","Unitywater Digital QR Code Tag Scan &amp; Settleable Solids Log",TRIM(B17)="Gold Coast","Licensed Liquid Waste Contractor Extraction &amp; Baffle Structural Check",TRIM(B17)="Ipswich","Urban Utilities Approved Sizing Metric &amp; 25% FOG Accumulation Audit",TRUE,"")</f>
        <v>Grease Trap Maintenance Log &amp; Food Safety Supervisor Certificate Validation</v>
      </c>
      <c r="F17" s="6" t="str" cm="1">
        <f t="array" ref="F17">_xlfn.IFS(TRIM(B17)="Sunshine Coast","A mandatory grease arrestor pump-out every 13 weeks minimum",TRIM(B17)="Moreton Bay","Mandatory compliance with Unitywater Trade Waste Policy &amp; scheduled pump-outs",TRIM(B17)="Gold Coast","All wastewater from food prep, floor wastes, and dishwashers must pass through approved trap",TRIM(B17)="Ipswich","Routine cleaning intervals mandated by Urban Utilities (ranging from 4 to 12 weeks)",TRUE,"")</f>
        <v>A mandatory grease arrestor pump-out every 13 weeks minimum</v>
      </c>
      <c r="G17" s="6" t="str" cm="1">
        <f t="array" ref="G17">_xlfn.IFS(TRIM(B17)="Sunshine Coast", "Unitywater Trade Waste Permit / MS Loop Food Folder", TRIM(B17)="Moreton Bay", "Water Supply (Safety and Reliability) Act 2008 / Unitywater Policy", TRIM(B17)="Gold Coast", "City of Gold Coast Liquid Trade Waste Guidelines", TRIM(B17)="Ipswich", "Urban Utilities Trade Waste Program / Ipswich Environmental Health Regs", TRUE, "")</f>
        <v>Unitywater Trade Waste Permit / MS Loop Food Folder</v>
      </c>
    </row>
    <row r="18" spans="1:7" ht="15.6" x14ac:dyDescent="0.3">
      <c r="A18" s="4" t="s">
        <v>27</v>
      </c>
      <c r="B18" s="6" t="s">
        <v>45</v>
      </c>
      <c r="C18" s="6" t="str" cm="1">
        <f t="array" ref="C18">_xlfn.IFS(TRIM(B18)="Sunshine Coast","Sunshine Coast Council",TRIM(B18)="Moreton Bay","City of Moreton Bay",TRIM(B18)="Gold Coast","City of Gold Coast",TRIM(B18)="Ipswich","Ipswich City Council",TRUE,"")</f>
        <v>City of Moreton Bay</v>
      </c>
      <c r="D18" s="6" t="str" cm="1">
        <f t="array" ref="D18">_xlfn.IFS(TRIM(B18)="Sunshine Coast","Biosecurity &amp; Trade Waste Liquid Risk",TRIM(B18)="Moreton Bay","Commercial Effluent &amp; Sewer Network Blockage Risk",TRIM(B18)="Gold Coast","FOG (Fats, Oils &amp; Grease) Overload Risk",TRIM(B18)="Ipswich","Liquid Trade Waste Compliance &amp; Pathogen Risk",TRUE,"")</f>
        <v>Commercial Effluent &amp; Sewer Network Blockage Risk</v>
      </c>
      <c r="E18" s="6" t="str" cm="1">
        <f t="array" ref="E18">_xlfn.IFS(TRIM(B18)="Sunshine Coast","Grease Trap Maintenance Log &amp; Food Safety Supervisor Certificate Validation",TRIM(B18)="Moreton Bay","Unitywater Digital QR Code Tag Scan &amp; Settleable Solids Log",TRIM(B18)="Gold Coast","Licensed Liquid Waste Contractor Extraction &amp; Baffle Structural Check",TRIM(B18)="Ipswich","Urban Utilities Approved Sizing Metric &amp; 25% FOG Accumulation Audit",TRUE,"")</f>
        <v>Unitywater Digital QR Code Tag Scan &amp; Settleable Solids Log</v>
      </c>
      <c r="F18" s="6" t="str" cm="1">
        <f t="array" ref="F18">_xlfn.IFS(TRIM(B18)="Sunshine Coast","A mandatory grease arrestor pump-out every 13 weeks minimum",TRIM(B18)="Moreton Bay","Mandatory compliance with Unitywater Trade Waste Policy &amp; scheduled pump-outs",TRIM(B18)="Gold Coast","All wastewater from food prep, floor wastes, and dishwashers must pass through approved trap",TRIM(B18)="Ipswich","Routine cleaning intervals mandated by Urban Utilities (ranging from 4 to 12 weeks)",TRUE,"")</f>
        <v>Mandatory compliance with Unitywater Trade Waste Policy &amp; scheduled pump-outs</v>
      </c>
      <c r="G18" s="6" t="str" cm="1">
        <f t="array" ref="G18">_xlfn.IFS(TRIM(B18)="Sunshine Coast", "Unitywater Trade Waste Permit / MS Loop Food Folder", TRIM(B18)="Moreton Bay", "Water Supply (Safety and Reliability) Act 2008 / Unitywater Policy", TRIM(B18)="Gold Coast", "City of Gold Coast Liquid Trade Waste Guidelines", TRIM(B18)="Ipswich", "Urban Utilities Trade Waste Program / Ipswich Environmental Health Regs", TRUE, "")</f>
        <v>Water Supply (Safety and Reliability) Act 2008 / Unitywater Policy</v>
      </c>
    </row>
    <row r="19" spans="1:7" ht="15.6" x14ac:dyDescent="0.3">
      <c r="A19" s="4" t="s">
        <v>28</v>
      </c>
      <c r="B19" s="6" t="s">
        <v>45</v>
      </c>
      <c r="C19" s="6" t="str" cm="1">
        <f t="array" ref="C19">_xlfn.IFS(TRIM(B19)="Sunshine Coast","Sunshine Coast Council",TRIM(B19)="Moreton Bay","City of Moreton Bay",TRIM(B19)="Gold Coast","City of Gold Coast",TRIM(B19)="Ipswich","Ipswich City Council",TRUE,"")</f>
        <v>City of Moreton Bay</v>
      </c>
      <c r="D19" s="6" t="str" cm="1">
        <f t="array" ref="D19">_xlfn.IFS(TRIM(B19)="Sunshine Coast","Biosecurity &amp; Trade Waste Liquid Risk",TRIM(B19)="Moreton Bay","Commercial Effluent &amp; Sewer Network Blockage Risk",TRIM(B19)="Gold Coast","FOG (Fats, Oils &amp; Grease) Overload Risk",TRIM(B19)="Ipswich","Liquid Trade Waste Compliance &amp; Pathogen Risk",TRUE,"")</f>
        <v>Commercial Effluent &amp; Sewer Network Blockage Risk</v>
      </c>
      <c r="E19" s="6" t="str" cm="1">
        <f t="array" ref="E19">_xlfn.IFS(TRIM(B19)="Sunshine Coast","Grease Trap Maintenance Log &amp; Food Safety Supervisor Certificate Validation",TRIM(B19)="Moreton Bay","Unitywater Digital QR Code Tag Scan &amp; Settleable Solids Log",TRIM(B19)="Gold Coast","Licensed Liquid Waste Contractor Extraction &amp; Baffle Structural Check",TRIM(B19)="Ipswich","Urban Utilities Approved Sizing Metric &amp; 25% FOG Accumulation Audit",TRUE,"")</f>
        <v>Unitywater Digital QR Code Tag Scan &amp; Settleable Solids Log</v>
      </c>
      <c r="F19" s="6" t="str" cm="1">
        <f t="array" ref="F19">_xlfn.IFS(TRIM(B19)="Sunshine Coast","A mandatory grease arrestor pump-out every 13 weeks minimum",TRIM(B19)="Moreton Bay","Mandatory compliance with Unitywater Trade Waste Policy &amp; scheduled pump-outs",TRIM(B19)="Gold Coast","All wastewater from food prep, floor wastes, and dishwashers must pass through approved trap",TRIM(B19)="Ipswich","Routine cleaning intervals mandated by Urban Utilities (ranging from 4 to 12 weeks)",TRUE,"")</f>
        <v>Mandatory compliance with Unitywater Trade Waste Policy &amp; scheduled pump-outs</v>
      </c>
      <c r="G19" s="6" t="str" cm="1">
        <f t="array" ref="G19">_xlfn.IFS(TRIM(B19)="Sunshine Coast", "Unitywater Trade Waste Permit / MS Loop Food Folder", TRIM(B19)="Moreton Bay", "Water Supply (Safety and Reliability) Act 2008 / Unitywater Policy", TRIM(B19)="Gold Coast", "City of Gold Coast Liquid Trade Waste Guidelines", TRIM(B19)="Ipswich", "Urban Utilities Trade Waste Program / Ipswich Environmental Health Regs", TRUE, "")</f>
        <v>Water Supply (Safety and Reliability) Act 2008 / Unitywater Policy</v>
      </c>
    </row>
    <row r="20" spans="1:7" ht="15" x14ac:dyDescent="0.3">
      <c r="A20" s="3" t="s">
        <v>4</v>
      </c>
      <c r="B20" s="6" t="s">
        <v>43</v>
      </c>
      <c r="C20" s="6" t="str" cm="1">
        <f t="array" ref="C20">_xlfn.IFS(TRIM(B20)="Sunshine Coast","Sunshine Coast Council",TRIM(B20)="Moreton Bay","City of Moreton Bay",TRIM(B20)="Gold Coast","City of Gold Coast",TRIM(B20)="Ipswich","Ipswich City Council",TRUE,"")</f>
        <v>Sunshine Coast Council</v>
      </c>
      <c r="D20" s="6" t="str" cm="1">
        <f t="array" ref="D20">_xlfn.IFS(TRIM(B20)="Sunshine Coast","Biosecurity &amp; Trade Waste Liquid Risk",TRIM(B20)="Moreton Bay","Commercial Effluent &amp; Sewer Network Blockage Risk",TRIM(B20)="Gold Coast","FOG (Fats, Oils &amp; Grease) Overload Risk",TRIM(B20)="Ipswich","Liquid Trade Waste Compliance &amp; Pathogen Risk",TRUE,"")</f>
        <v>Biosecurity &amp; Trade Waste Liquid Risk</v>
      </c>
      <c r="E20" s="6" t="str" cm="1">
        <f t="array" ref="E20">_xlfn.IFS(TRIM(B20)="Sunshine Coast","Grease Trap Maintenance Log &amp; Food Safety Supervisor Certificate Validation",TRIM(B20)="Moreton Bay","Unitywater Digital QR Code Tag Scan &amp; Settleable Solids Log",TRIM(B20)="Gold Coast","Licensed Liquid Waste Contractor Extraction &amp; Baffle Structural Check",TRIM(B20)="Ipswich","Urban Utilities Approved Sizing Metric &amp; 25% FOG Accumulation Audit",TRUE,"")</f>
        <v>Grease Trap Maintenance Log &amp; Food Safety Supervisor Certificate Validation</v>
      </c>
      <c r="F20" s="6" t="str" cm="1">
        <f t="array" ref="F20">_xlfn.IFS(TRIM(B20)="Sunshine Coast","A mandatory grease arrestor pump-out every 13 weeks minimum",TRIM(B20)="Moreton Bay","Mandatory compliance with Unitywater Trade Waste Policy &amp; scheduled pump-outs",TRIM(B20)="Gold Coast","All wastewater from food prep, floor wastes, and dishwashers must pass through approved trap",TRIM(B20)="Ipswich","Routine cleaning intervals mandated by Urban Utilities (ranging from 4 to 12 weeks)",TRUE,"")</f>
        <v>A mandatory grease arrestor pump-out every 13 weeks minimum</v>
      </c>
      <c r="G20" s="6" t="str" cm="1">
        <f t="array" ref="G20">_xlfn.IFS(TRIM(B20)="Sunshine Coast", "Unitywater Trade Waste Permit / MS Loop Food Folder", TRIM(B20)="Moreton Bay", "Water Supply (Safety and Reliability) Act 2008 / Unitywater Policy", TRIM(B20)="Gold Coast", "City of Gold Coast Liquid Trade Waste Guidelines", TRIM(B20)="Ipswich", "Urban Utilities Trade Waste Program / Ipswich Environmental Health Regs", TRUE, "")</f>
        <v>Unitywater Trade Waste Permit / MS Loop Food Folder</v>
      </c>
    </row>
    <row r="21" spans="1:7" ht="15.6" x14ac:dyDescent="0.3">
      <c r="A21" s="4" t="s">
        <v>33</v>
      </c>
      <c r="B21" s="6" t="s">
        <v>45</v>
      </c>
      <c r="C21" s="6" t="str" cm="1">
        <f t="array" ref="C21">_xlfn.IFS(TRIM(B21)="Sunshine Coast","Sunshine Coast Council",TRIM(B21)="Moreton Bay","City of Moreton Bay",TRIM(B21)="Gold Coast","City of Gold Coast",TRIM(B21)="Ipswich","Ipswich City Council",TRUE,"")</f>
        <v>City of Moreton Bay</v>
      </c>
      <c r="D21" s="6" t="str" cm="1">
        <f t="array" ref="D21">_xlfn.IFS(TRIM(B21)="Sunshine Coast","Biosecurity &amp; Trade Waste Liquid Risk",TRIM(B21)="Moreton Bay","Commercial Effluent &amp; Sewer Network Blockage Risk",TRIM(B21)="Gold Coast","FOG (Fats, Oils &amp; Grease) Overload Risk",TRIM(B21)="Ipswich","Liquid Trade Waste Compliance &amp; Pathogen Risk",TRUE,"")</f>
        <v>Commercial Effluent &amp; Sewer Network Blockage Risk</v>
      </c>
      <c r="E21" s="6" t="str" cm="1">
        <f t="array" ref="E21">_xlfn.IFS(TRIM(B21)="Sunshine Coast","Grease Trap Maintenance Log &amp; Food Safety Supervisor Certificate Validation",TRIM(B21)="Moreton Bay","Unitywater Digital QR Code Tag Scan &amp; Settleable Solids Log",TRIM(B21)="Gold Coast","Licensed Liquid Waste Contractor Extraction &amp; Baffle Structural Check",TRIM(B21)="Ipswich","Urban Utilities Approved Sizing Metric &amp; 25% FOG Accumulation Audit",TRUE,"")</f>
        <v>Unitywater Digital QR Code Tag Scan &amp; Settleable Solids Log</v>
      </c>
      <c r="F21" s="6" t="str" cm="1">
        <f t="array" ref="F21">_xlfn.IFS(TRIM(B21)="Sunshine Coast","A mandatory grease arrestor pump-out every 13 weeks minimum",TRIM(B21)="Moreton Bay","Mandatory compliance with Unitywater Trade Waste Policy &amp; scheduled pump-outs",TRIM(B21)="Gold Coast","All wastewater from food prep, floor wastes, and dishwashers must pass through approved trap",TRIM(B21)="Ipswich","Routine cleaning intervals mandated by Urban Utilities (ranging from 4 to 12 weeks)",TRUE,"")</f>
        <v>Mandatory compliance with Unitywater Trade Waste Policy &amp; scheduled pump-outs</v>
      </c>
      <c r="G21" s="6" t="str" cm="1">
        <f t="array" ref="G21">_xlfn.IFS(TRIM(B21)="Sunshine Coast", "Unitywater Trade Waste Permit / MS Loop Food Folder", TRIM(B21)="Moreton Bay", "Water Supply (Safety and Reliability) Act 2008 / Unitywater Policy", TRIM(B21)="Gold Coast", "City of Gold Coast Liquid Trade Waste Guidelines", TRIM(B21)="Ipswich", "Urban Utilities Trade Waste Program / Ipswich Environmental Health Regs", TRUE, "")</f>
        <v>Water Supply (Safety and Reliability) Act 2008 / Unitywater Policy</v>
      </c>
    </row>
    <row r="22" spans="1:7" ht="15.6" x14ac:dyDescent="0.3">
      <c r="A22" s="4" t="s">
        <v>29</v>
      </c>
      <c r="B22" s="6" t="s">
        <v>45</v>
      </c>
      <c r="C22" s="6" t="str" cm="1">
        <f t="array" ref="C22">_xlfn.IFS(TRIM(B22)="Sunshine Coast","Sunshine Coast Council",TRIM(B22)="Moreton Bay","City of Moreton Bay",TRIM(B22)="Gold Coast","City of Gold Coast",TRIM(B22)="Ipswich","Ipswich City Council",TRUE,"")</f>
        <v>City of Moreton Bay</v>
      </c>
      <c r="D22" s="6" t="str" cm="1">
        <f t="array" ref="D22">_xlfn.IFS(TRIM(B22)="Sunshine Coast","Biosecurity &amp; Trade Waste Liquid Risk",TRIM(B22)="Moreton Bay","Commercial Effluent &amp; Sewer Network Blockage Risk",TRIM(B22)="Gold Coast","FOG (Fats, Oils &amp; Grease) Overload Risk",TRIM(B22)="Ipswich","Liquid Trade Waste Compliance &amp; Pathogen Risk",TRUE,"")</f>
        <v>Commercial Effluent &amp; Sewer Network Blockage Risk</v>
      </c>
      <c r="E22" s="6" t="str" cm="1">
        <f t="array" ref="E22">_xlfn.IFS(TRIM(B22)="Sunshine Coast","Grease Trap Maintenance Log &amp; Food Safety Supervisor Certificate Validation",TRIM(B22)="Moreton Bay","Unitywater Digital QR Code Tag Scan &amp; Settleable Solids Log",TRIM(B22)="Gold Coast","Licensed Liquid Waste Contractor Extraction &amp; Baffle Structural Check",TRIM(B22)="Ipswich","Urban Utilities Approved Sizing Metric &amp; 25% FOG Accumulation Audit",TRUE,"")</f>
        <v>Unitywater Digital QR Code Tag Scan &amp; Settleable Solids Log</v>
      </c>
      <c r="F22" s="6" t="str" cm="1">
        <f t="array" ref="F22">_xlfn.IFS(TRIM(B22)="Sunshine Coast","A mandatory grease arrestor pump-out every 13 weeks minimum",TRIM(B22)="Moreton Bay","Mandatory compliance with Unitywater Trade Waste Policy &amp; scheduled pump-outs",TRIM(B22)="Gold Coast","All wastewater from food prep, floor wastes, and dishwashers must pass through approved trap",TRIM(B22)="Ipswich","Routine cleaning intervals mandated by Urban Utilities (ranging from 4 to 12 weeks)",TRUE,"")</f>
        <v>Mandatory compliance with Unitywater Trade Waste Policy &amp; scheduled pump-outs</v>
      </c>
      <c r="G22" s="6" t="str" cm="1">
        <f t="array" ref="G22">_xlfn.IFS(TRIM(B22)="Sunshine Coast", "Unitywater Trade Waste Permit / MS Loop Food Folder", TRIM(B22)="Moreton Bay", "Water Supply (Safety and Reliability) Act 2008 / Unitywater Policy", TRIM(B22)="Gold Coast", "City of Gold Coast Liquid Trade Waste Guidelines", TRIM(B22)="Ipswich", "Urban Utilities Trade Waste Program / Ipswich Environmental Health Regs", TRUE, "")</f>
        <v>Water Supply (Safety and Reliability) Act 2008 / Unitywater Policy</v>
      </c>
    </row>
    <row r="23" spans="1:7" ht="15" x14ac:dyDescent="0.3">
      <c r="A23" s="3" t="s">
        <v>8</v>
      </c>
      <c r="B23" s="6" t="s">
        <v>43</v>
      </c>
      <c r="C23" s="6" t="str" cm="1">
        <f t="array" ref="C23">_xlfn.IFS(TRIM(B23)="Sunshine Coast","Sunshine Coast Council",TRIM(B23)="Moreton Bay","City of Moreton Bay",TRIM(B23)="Gold Coast","City of Gold Coast",TRIM(B23)="Ipswich","Ipswich City Council",TRUE,"")</f>
        <v>Sunshine Coast Council</v>
      </c>
      <c r="D23" s="6" t="str" cm="1">
        <f t="array" ref="D23">_xlfn.IFS(TRIM(B23)="Sunshine Coast","Biosecurity &amp; Trade Waste Liquid Risk",TRIM(B23)="Moreton Bay","Commercial Effluent &amp; Sewer Network Blockage Risk",TRIM(B23)="Gold Coast","FOG (Fats, Oils &amp; Grease) Overload Risk",TRIM(B23)="Ipswich","Liquid Trade Waste Compliance &amp; Pathogen Risk",TRUE,"")</f>
        <v>Biosecurity &amp; Trade Waste Liquid Risk</v>
      </c>
      <c r="E23" s="6" t="str" cm="1">
        <f t="array" ref="E23">_xlfn.IFS(TRIM(B23)="Sunshine Coast","Grease Trap Maintenance Log &amp; Food Safety Supervisor Certificate Validation",TRIM(B23)="Moreton Bay","Unitywater Digital QR Code Tag Scan &amp; Settleable Solids Log",TRIM(B23)="Gold Coast","Licensed Liquid Waste Contractor Extraction &amp; Baffle Structural Check",TRIM(B23)="Ipswich","Urban Utilities Approved Sizing Metric &amp; 25% FOG Accumulation Audit",TRUE,"")</f>
        <v>Grease Trap Maintenance Log &amp; Food Safety Supervisor Certificate Validation</v>
      </c>
      <c r="F23" s="6" t="str" cm="1">
        <f t="array" ref="F23">_xlfn.IFS(TRIM(B23)="Sunshine Coast","A mandatory grease arrestor pump-out every 13 weeks minimum",TRIM(B23)="Moreton Bay","Mandatory compliance with Unitywater Trade Waste Policy &amp; scheduled pump-outs",TRIM(B23)="Gold Coast","All wastewater from food prep, floor wastes, and dishwashers must pass through approved trap",TRIM(B23)="Ipswich","Routine cleaning intervals mandated by Urban Utilities (ranging from 4 to 12 weeks)",TRUE,"")</f>
        <v>A mandatory grease arrestor pump-out every 13 weeks minimum</v>
      </c>
      <c r="G23" s="6" t="str" cm="1">
        <f t="array" ref="G23">_xlfn.IFS(TRIM(B23)="Sunshine Coast", "Unitywater Trade Waste Permit / MS Loop Food Folder", TRIM(B23)="Moreton Bay", "Water Supply (Safety and Reliability) Act 2008 / Unitywater Policy", TRIM(B23)="Gold Coast", "City of Gold Coast Liquid Trade Waste Guidelines", TRIM(B23)="Ipswich", "Urban Utilities Trade Waste Program / Ipswich Environmental Health Regs", TRUE, "")</f>
        <v>Unitywater Trade Waste Permit / MS Loop Food Folder</v>
      </c>
    </row>
    <row r="24" spans="1:7" ht="15.6" x14ac:dyDescent="0.3">
      <c r="A24" s="4" t="s">
        <v>35</v>
      </c>
      <c r="B24" s="6" t="s">
        <v>45</v>
      </c>
      <c r="C24" s="6" t="str" cm="1">
        <f t="array" ref="C24">_xlfn.IFS(TRIM(B24)="Sunshine Coast","Sunshine Coast Council",TRIM(B24)="Moreton Bay","City of Moreton Bay",TRIM(B24)="Gold Coast","City of Gold Coast",TRIM(B24)="Ipswich","Ipswich City Council",TRUE,"")</f>
        <v>City of Moreton Bay</v>
      </c>
      <c r="D24" s="6" t="str" cm="1">
        <f t="array" ref="D24">_xlfn.IFS(TRIM(B24)="Sunshine Coast","Biosecurity &amp; Trade Waste Liquid Risk",TRIM(B24)="Moreton Bay","Commercial Effluent &amp; Sewer Network Blockage Risk",TRIM(B24)="Gold Coast","FOG (Fats, Oils &amp; Grease) Overload Risk",TRIM(B24)="Ipswich","Liquid Trade Waste Compliance &amp; Pathogen Risk",TRUE,"")</f>
        <v>Commercial Effluent &amp; Sewer Network Blockage Risk</v>
      </c>
      <c r="E24" s="6" t="str" cm="1">
        <f t="array" ref="E24">_xlfn.IFS(TRIM(B24)="Sunshine Coast","Grease Trap Maintenance Log &amp; Food Safety Supervisor Certificate Validation",TRIM(B24)="Moreton Bay","Unitywater Digital QR Code Tag Scan &amp; Settleable Solids Log",TRIM(B24)="Gold Coast","Licensed Liquid Waste Contractor Extraction &amp; Baffle Structural Check",TRIM(B24)="Ipswich","Urban Utilities Approved Sizing Metric &amp; 25% FOG Accumulation Audit",TRUE,"")</f>
        <v>Unitywater Digital QR Code Tag Scan &amp; Settleable Solids Log</v>
      </c>
      <c r="F24" s="6" t="str" cm="1">
        <f t="array" ref="F24">_xlfn.IFS(TRIM(B24)="Sunshine Coast","A mandatory grease arrestor pump-out every 13 weeks minimum",TRIM(B24)="Moreton Bay","Mandatory compliance with Unitywater Trade Waste Policy &amp; scheduled pump-outs",TRIM(B24)="Gold Coast","All wastewater from food prep, floor wastes, and dishwashers must pass through approved trap",TRIM(B24)="Ipswich","Routine cleaning intervals mandated by Urban Utilities (ranging from 4 to 12 weeks)",TRUE,"")</f>
        <v>Mandatory compliance with Unitywater Trade Waste Policy &amp; scheduled pump-outs</v>
      </c>
      <c r="G24" s="6" t="str" cm="1">
        <f t="array" ref="G24">_xlfn.IFS(TRIM(B24)="Sunshine Coast", "Unitywater Trade Waste Permit / MS Loop Food Folder", TRIM(B24)="Moreton Bay", "Water Supply (Safety and Reliability) Act 2008 / Unitywater Policy", TRIM(B24)="Gold Coast", "City of Gold Coast Liquid Trade Waste Guidelines", TRIM(B24)="Ipswich", "Urban Utilities Trade Waste Program / Ipswich Environmental Health Regs", TRUE, "")</f>
        <v>Water Supply (Safety and Reliability) Act 2008 / Unitywater Policy</v>
      </c>
    </row>
    <row r="25" spans="1:7" ht="15.6" x14ac:dyDescent="0.3">
      <c r="A25" s="4" t="s">
        <v>22</v>
      </c>
      <c r="B25" s="6" t="s">
        <v>44</v>
      </c>
      <c r="C25" s="6" t="str" cm="1">
        <f t="array" ref="C25">_xlfn.IFS(TRIM(B25)="Sunshine Coast","Sunshine Coast Council",TRIM(B25)="Moreton Bay","City of Moreton Bay",TRIM(B25)="Gold Coast","City of Gold Coast",TRIM(B25)="Ipswich","Ipswich City Council",TRUE,"")</f>
        <v>City of Gold Coast</v>
      </c>
      <c r="D25" s="6" t="str" cm="1">
        <f t="array" ref="D25">_xlfn.IFS(TRIM(B25)="Sunshine Coast","Biosecurity &amp; Trade Waste Liquid Risk",TRIM(B25)="Moreton Bay","Commercial Effluent &amp; Sewer Network Blockage Risk",TRIM(B25)="Gold Coast","FOG (Fats, Oils &amp; Grease) Overload Risk",TRIM(B25)="Ipswich","Liquid Trade Waste Compliance &amp; Pathogen Risk",TRUE,"")</f>
        <v>FOG (Fats, Oils &amp; Grease) Overload Risk</v>
      </c>
      <c r="E25" s="6" t="str" cm="1">
        <f t="array" ref="E25">_xlfn.IFS(TRIM(B25)="Sunshine Coast","Grease Trap Maintenance Log &amp; Food Safety Supervisor Certificate Validation",TRIM(B25)="Moreton Bay","Unitywater Digital QR Code Tag Scan &amp; Settleable Solids Log",TRIM(B25)="Gold Coast","Licensed Liquid Waste Contractor Extraction &amp; Baffle Structural Check",TRIM(B25)="Ipswich","Urban Utilities Approved Sizing Metric &amp; 25% FOG Accumulation Audit",TRUE,"")</f>
        <v>Licensed Liquid Waste Contractor Extraction &amp; Baffle Structural Check</v>
      </c>
      <c r="F25" s="6" t="str" cm="1">
        <f t="array" ref="F25">_xlfn.IFS(TRIM(B25)="Sunshine Coast","A mandatory grease arrestor pump-out every 13 weeks minimum",TRIM(B25)="Moreton Bay","Mandatory compliance with Unitywater Trade Waste Policy &amp; scheduled pump-outs",TRIM(B25)="Gold Coast","All wastewater from food prep, floor wastes, and dishwashers must pass through approved trap",TRIM(B25)="Ipswich","Routine cleaning intervals mandated by Urban Utilities (ranging from 4 to 12 weeks)",TRUE,"")</f>
        <v>All wastewater from food prep, floor wastes, and dishwashers must pass through approved trap</v>
      </c>
      <c r="G25" s="6" t="str" cm="1">
        <f t="array" ref="G25">_xlfn.IFS(TRIM(B25)="Sunshine Coast", "Unitywater Trade Waste Permit / MS Loop Food Folder", TRIM(B25)="Moreton Bay", "Water Supply (Safety and Reliability) Act 2008 / Unitywater Policy", TRIM(B25)="Gold Coast", "City of Gold Coast Liquid Trade Waste Guidelines", TRIM(B25)="Ipswich", "Urban Utilities Trade Waste Program / Ipswich Environmental Health Regs", TRUE, "")</f>
        <v>City of Gold Coast Liquid Trade Waste Guidelines</v>
      </c>
    </row>
    <row r="26" spans="1:7" ht="15.6" x14ac:dyDescent="0.3">
      <c r="A26" s="4" t="s">
        <v>17</v>
      </c>
      <c r="B26" s="6" t="s">
        <v>44</v>
      </c>
      <c r="C26" s="6" t="str" cm="1">
        <f t="array" ref="C26">_xlfn.IFS(TRIM(B26)="Sunshine Coast","Sunshine Coast Council",TRIM(B26)="Moreton Bay","City of Moreton Bay",TRIM(B26)="Gold Coast","City of Gold Coast",TRIM(B26)="Ipswich","Ipswich City Council",TRUE,"")</f>
        <v>City of Gold Coast</v>
      </c>
      <c r="D26" s="6" t="str" cm="1">
        <f t="array" ref="D26">_xlfn.IFS(TRIM(B26)="Sunshine Coast","Biosecurity &amp; Trade Waste Liquid Risk",TRIM(B26)="Moreton Bay","Commercial Effluent &amp; Sewer Network Blockage Risk",TRIM(B26)="Gold Coast","FOG (Fats, Oils &amp; Grease) Overload Risk",TRIM(B26)="Ipswich","Liquid Trade Waste Compliance &amp; Pathogen Risk",TRUE,"")</f>
        <v>FOG (Fats, Oils &amp; Grease) Overload Risk</v>
      </c>
      <c r="E26" s="6" t="str" cm="1">
        <f t="array" ref="E26">_xlfn.IFS(TRIM(B26)="Sunshine Coast","Grease Trap Maintenance Log &amp; Food Safety Supervisor Certificate Validation",TRIM(B26)="Moreton Bay","Unitywater Digital QR Code Tag Scan &amp; Settleable Solids Log",TRIM(B26)="Gold Coast","Licensed Liquid Waste Contractor Extraction &amp; Baffle Structural Check",TRIM(B26)="Ipswich","Urban Utilities Approved Sizing Metric &amp; 25% FOG Accumulation Audit",TRUE,"")</f>
        <v>Licensed Liquid Waste Contractor Extraction &amp; Baffle Structural Check</v>
      </c>
      <c r="F26" s="6" t="str" cm="1">
        <f t="array" ref="F26">_xlfn.IFS(TRIM(B26)="Sunshine Coast","A mandatory grease arrestor pump-out every 13 weeks minimum",TRIM(B26)="Moreton Bay","Mandatory compliance with Unitywater Trade Waste Policy &amp; scheduled pump-outs",TRIM(B26)="Gold Coast","All wastewater from food prep, floor wastes, and dishwashers must pass through approved trap",TRIM(B26)="Ipswich","Routine cleaning intervals mandated by Urban Utilities (ranging from 4 to 12 weeks)",TRUE,"")</f>
        <v>All wastewater from food prep, floor wastes, and dishwashers must pass through approved trap</v>
      </c>
      <c r="G26" s="6" t="str" cm="1">
        <f t="array" ref="G26">_xlfn.IFS(TRIM(B26)="Sunshine Coast", "Unitywater Trade Waste Permit / MS Loop Food Folder", TRIM(B26)="Moreton Bay", "Water Supply (Safety and Reliability) Act 2008 / Unitywater Policy", TRIM(B26)="Gold Coast", "City of Gold Coast Liquid Trade Waste Guidelines", TRIM(B26)="Ipswich", "Urban Utilities Trade Waste Program / Ipswich Environmental Health Regs", TRUE, "")</f>
        <v>City of Gold Coast Liquid Trade Waste Guidelines</v>
      </c>
    </row>
    <row r="27" spans="1:7" ht="15" x14ac:dyDescent="0.3">
      <c r="A27" s="3" t="s">
        <v>6</v>
      </c>
      <c r="B27" s="6" t="s">
        <v>43</v>
      </c>
      <c r="C27" s="6" t="str" cm="1">
        <f t="array" ref="C27">_xlfn.IFS(TRIM(B27)="Sunshine Coast","Sunshine Coast Council",TRIM(B27)="Moreton Bay","City of Moreton Bay",TRIM(B27)="Gold Coast","City of Gold Coast",TRIM(B27)="Ipswich","Ipswich City Council",TRUE,"")</f>
        <v>Sunshine Coast Council</v>
      </c>
      <c r="D27" s="6" t="str" cm="1">
        <f t="array" ref="D27">_xlfn.IFS(TRIM(B27)="Sunshine Coast","Biosecurity &amp; Trade Waste Liquid Risk",TRIM(B27)="Moreton Bay","Commercial Effluent &amp; Sewer Network Blockage Risk",TRIM(B27)="Gold Coast","FOG (Fats, Oils &amp; Grease) Overload Risk",TRIM(B27)="Ipswich","Liquid Trade Waste Compliance &amp; Pathogen Risk",TRUE,"")</f>
        <v>Biosecurity &amp; Trade Waste Liquid Risk</v>
      </c>
      <c r="E27" s="6" t="str" cm="1">
        <f t="array" ref="E27">_xlfn.IFS(TRIM(B27)="Sunshine Coast","Grease Trap Maintenance Log &amp; Food Safety Supervisor Certificate Validation",TRIM(B27)="Moreton Bay","Unitywater Digital QR Code Tag Scan &amp; Settleable Solids Log",TRIM(B27)="Gold Coast","Licensed Liquid Waste Contractor Extraction &amp; Baffle Structural Check",TRIM(B27)="Ipswich","Urban Utilities Approved Sizing Metric &amp; 25% FOG Accumulation Audit",TRUE,"")</f>
        <v>Grease Trap Maintenance Log &amp; Food Safety Supervisor Certificate Validation</v>
      </c>
      <c r="F27" s="6" t="str" cm="1">
        <f t="array" ref="F27">_xlfn.IFS(TRIM(B27)="Sunshine Coast","A mandatory grease arrestor pump-out every 13 weeks minimum",TRIM(B27)="Moreton Bay","Mandatory compliance with Unitywater Trade Waste Policy &amp; scheduled pump-outs",TRIM(B27)="Gold Coast","All wastewater from food prep, floor wastes, and dishwashers must pass through approved trap",TRIM(B27)="Ipswich","Routine cleaning intervals mandated by Urban Utilities (ranging from 4 to 12 weeks)",TRUE,"")</f>
        <v>A mandatory grease arrestor pump-out every 13 weeks minimum</v>
      </c>
      <c r="G27" s="6" t="str" cm="1">
        <f t="array" ref="G27">_xlfn.IFS(TRIM(B27)="Sunshine Coast", "Unitywater Trade Waste Permit / MS Loop Food Folder", TRIM(B27)="Moreton Bay", "Water Supply (Safety and Reliability) Act 2008 / Unitywater Policy", TRIM(B27)="Gold Coast", "City of Gold Coast Liquid Trade Waste Guidelines", TRIM(B27)="Ipswich", "Urban Utilities Trade Waste Program / Ipswich Environmental Health Regs", TRUE, "")</f>
        <v>Unitywater Trade Waste Permit / MS Loop Food Folder</v>
      </c>
    </row>
    <row r="28" spans="1:7" ht="15.6" x14ac:dyDescent="0.3">
      <c r="A28" s="4" t="s">
        <v>31</v>
      </c>
      <c r="B28" s="6" t="s">
        <v>45</v>
      </c>
      <c r="C28" s="6" t="str" cm="1">
        <f t="array" ref="C28">_xlfn.IFS(TRIM(B28)="Sunshine Coast","Sunshine Coast Council",TRIM(B28)="Moreton Bay","City of Moreton Bay",TRIM(B28)="Gold Coast","City of Gold Coast",TRIM(B28)="Ipswich","Ipswich City Council",TRUE,"")</f>
        <v>City of Moreton Bay</v>
      </c>
      <c r="D28" s="6" t="str" cm="1">
        <f t="array" ref="D28">_xlfn.IFS(TRIM(B28)="Sunshine Coast","Biosecurity &amp; Trade Waste Liquid Risk",TRIM(B28)="Moreton Bay","Commercial Effluent &amp; Sewer Network Blockage Risk",TRIM(B28)="Gold Coast","FOG (Fats, Oils &amp; Grease) Overload Risk",TRIM(B28)="Ipswich","Liquid Trade Waste Compliance &amp; Pathogen Risk",TRUE,"")</f>
        <v>Commercial Effluent &amp; Sewer Network Blockage Risk</v>
      </c>
      <c r="E28" s="6" t="str" cm="1">
        <f t="array" ref="E28">_xlfn.IFS(TRIM(B28)="Sunshine Coast","Grease Trap Maintenance Log &amp; Food Safety Supervisor Certificate Validation",TRIM(B28)="Moreton Bay","Unitywater Digital QR Code Tag Scan &amp; Settleable Solids Log",TRIM(B28)="Gold Coast","Licensed Liquid Waste Contractor Extraction &amp; Baffle Structural Check",TRIM(B28)="Ipswich","Urban Utilities Approved Sizing Metric &amp; 25% FOG Accumulation Audit",TRUE,"")</f>
        <v>Unitywater Digital QR Code Tag Scan &amp; Settleable Solids Log</v>
      </c>
      <c r="F28" s="6" t="str" cm="1">
        <f t="array" ref="F28">_xlfn.IFS(TRIM(B28)="Sunshine Coast","A mandatory grease arrestor pump-out every 13 weeks minimum",TRIM(B28)="Moreton Bay","Mandatory compliance with Unitywater Trade Waste Policy &amp; scheduled pump-outs",TRIM(B28)="Gold Coast","All wastewater from food prep, floor wastes, and dishwashers must pass through approved trap",TRIM(B28)="Ipswich","Routine cleaning intervals mandated by Urban Utilities (ranging from 4 to 12 weeks)",TRUE,"")</f>
        <v>Mandatory compliance with Unitywater Trade Waste Policy &amp; scheduled pump-outs</v>
      </c>
      <c r="G28" s="6" t="str" cm="1">
        <f t="array" ref="G28">_xlfn.IFS(TRIM(B28)="Sunshine Coast", "Unitywater Trade Waste Permit / MS Loop Food Folder", TRIM(B28)="Moreton Bay", "Water Supply (Safety and Reliability) Act 2008 / Unitywater Policy", TRIM(B28)="Gold Coast", "City of Gold Coast Liquid Trade Waste Guidelines", TRIM(B28)="Ipswich", "Urban Utilities Trade Waste Program / Ipswich Environmental Health Regs", TRUE, "")</f>
        <v>Water Supply (Safety and Reliability) Act 2008 / Unitywater Policy</v>
      </c>
    </row>
    <row r="29" spans="1:7" ht="15.6" x14ac:dyDescent="0.3">
      <c r="A29" s="4" t="s">
        <v>18</v>
      </c>
      <c r="B29" s="6" t="s">
        <v>44</v>
      </c>
      <c r="C29" s="6" t="str" cm="1">
        <f t="array" ref="C29">_xlfn.IFS(TRIM(B29)="Sunshine Coast","Sunshine Coast Council",TRIM(B29)="Moreton Bay","City of Moreton Bay",TRIM(B29)="Gold Coast","City of Gold Coast",TRIM(B29)="Ipswich","Ipswich City Council",TRUE,"")</f>
        <v>City of Gold Coast</v>
      </c>
      <c r="D29" s="6" t="str" cm="1">
        <f t="array" ref="D29">_xlfn.IFS(TRIM(B29)="Sunshine Coast","Biosecurity &amp; Trade Waste Liquid Risk",TRIM(B29)="Moreton Bay","Commercial Effluent &amp; Sewer Network Blockage Risk",TRIM(B29)="Gold Coast","FOG (Fats, Oils &amp; Grease) Overload Risk",TRIM(B29)="Ipswich","Liquid Trade Waste Compliance &amp; Pathogen Risk",TRUE,"")</f>
        <v>FOG (Fats, Oils &amp; Grease) Overload Risk</v>
      </c>
      <c r="E29" s="6" t="str" cm="1">
        <f t="array" ref="E29">_xlfn.IFS(TRIM(B29)="Sunshine Coast","Grease Trap Maintenance Log &amp; Food Safety Supervisor Certificate Validation",TRIM(B29)="Moreton Bay","Unitywater Digital QR Code Tag Scan &amp; Settleable Solids Log",TRIM(B29)="Gold Coast","Licensed Liquid Waste Contractor Extraction &amp; Baffle Structural Check",TRIM(B29)="Ipswich","Urban Utilities Approved Sizing Metric &amp; 25% FOG Accumulation Audit",TRUE,"")</f>
        <v>Licensed Liquid Waste Contractor Extraction &amp; Baffle Structural Check</v>
      </c>
      <c r="F29" s="6" t="str" cm="1">
        <f t="array" ref="F29">_xlfn.IFS(TRIM(B29)="Sunshine Coast","A mandatory grease arrestor pump-out every 13 weeks minimum",TRIM(B29)="Moreton Bay","Mandatory compliance with Unitywater Trade Waste Policy &amp; scheduled pump-outs",TRIM(B29)="Gold Coast","All wastewater from food prep, floor wastes, and dishwashers must pass through approved trap",TRIM(B29)="Ipswich","Routine cleaning intervals mandated by Urban Utilities (ranging from 4 to 12 weeks)",TRUE,"")</f>
        <v>All wastewater from food prep, floor wastes, and dishwashers must pass through approved trap</v>
      </c>
      <c r="G29" s="6" t="str" cm="1">
        <f t="array" ref="G29">_xlfn.IFS(TRIM(B29)="Sunshine Coast", "Unitywater Trade Waste Permit / MS Loop Food Folder", TRIM(B29)="Moreton Bay", "Water Supply (Safety and Reliability) Act 2008 / Unitywater Policy", TRIM(B29)="Gold Coast", "City of Gold Coast Liquid Trade Waste Guidelines", TRIM(B29)="Ipswich", "Urban Utilities Trade Waste Program / Ipswich Environmental Health Regs", TRUE, "")</f>
        <v>City of Gold Coast Liquid Trade Waste Guidelines</v>
      </c>
    </row>
    <row r="30" spans="1:7" ht="15.6" x14ac:dyDescent="0.3">
      <c r="A30" s="4" t="s">
        <v>37</v>
      </c>
      <c r="B30" s="6" t="s">
        <v>38</v>
      </c>
      <c r="C30" s="6" t="str" cm="1">
        <f t="array" ref="C30">_xlfn.IFS(TRIM(B30)="Sunshine Coast","Sunshine Coast Council",TRIM(B30)="Moreton Bay","City of Moreton Bay",TRIM(B30)="Gold Coast","City of Gold Coast",TRIM(B30)="Ipswich","Ipswich City Council",TRUE,"")</f>
        <v>Ipswich City Council</v>
      </c>
      <c r="D30" s="6" t="str" cm="1">
        <f t="array" ref="D30">_xlfn.IFS(TRIM(B30)="Sunshine Coast","Biosecurity &amp; Trade Waste Liquid Risk",TRIM(B30)="Moreton Bay","Commercial Effluent &amp; Sewer Network Blockage Risk",TRIM(B30)="Gold Coast","FOG (Fats, Oils &amp; Grease) Overload Risk",TRIM(B30)="Ipswich","Liquid Trade Waste Compliance &amp; Pathogen Risk",TRUE,"")</f>
        <v>Liquid Trade Waste Compliance &amp; Pathogen Risk</v>
      </c>
      <c r="E30" s="6" t="str" cm="1">
        <f t="array" ref="E30">_xlfn.IFS(TRIM(B30)="Sunshine Coast","Grease Trap Maintenance Log &amp; Food Safety Supervisor Certificate Validation",TRIM(B30)="Moreton Bay","Unitywater Digital QR Code Tag Scan &amp; Settleable Solids Log",TRIM(B30)="Gold Coast","Licensed Liquid Waste Contractor Extraction &amp; Baffle Structural Check",TRIM(B30)="Ipswich","Urban Utilities Approved Sizing Metric &amp; 25% FOG Accumulation Audit",TRUE,"")</f>
        <v>Urban Utilities Approved Sizing Metric &amp; 25% FOG Accumulation Audit</v>
      </c>
      <c r="F30" s="6" t="str" cm="1">
        <f t="array" ref="F30">_xlfn.IFS(TRIM(B30)="Sunshine Coast","A mandatory grease arrestor pump-out every 13 weeks minimum",TRIM(B30)="Moreton Bay","Mandatory compliance with Unitywater Trade Waste Policy &amp; scheduled pump-outs",TRIM(B30)="Gold Coast","All wastewater from food prep, floor wastes, and dishwashers must pass through approved trap",TRIM(B30)="Ipswich","Routine cleaning intervals mandated by Urban Utilities (ranging from 4 to 12 weeks)",TRUE,"")</f>
        <v>Routine cleaning intervals mandated by Urban Utilities (ranging from 4 to 12 weeks)</v>
      </c>
      <c r="G30" s="6" t="str" cm="1">
        <f t="array" ref="G30">_xlfn.IFS(TRIM(B30)="Sunshine Coast", "Unitywater Trade Waste Permit / MS Loop Food Folder", TRIM(B30)="Moreton Bay", "Water Supply (Safety and Reliability) Act 2008 / Unitywater Policy", TRIM(B30)="Gold Coast", "City of Gold Coast Liquid Trade Waste Guidelines", TRIM(B30)="Ipswich", "Urban Utilities Trade Waste Program / Ipswich Environmental Health Regs", TRUE, "")</f>
        <v>Urban Utilities Trade Waste Program / Ipswich Environmental Health Regs</v>
      </c>
    </row>
    <row r="31" spans="1:7" ht="15.6" x14ac:dyDescent="0.3">
      <c r="A31" s="4" t="s">
        <v>23</v>
      </c>
      <c r="B31" s="6" t="s">
        <v>44</v>
      </c>
      <c r="C31" s="6" t="str" cm="1">
        <f t="array" ref="C31">_xlfn.IFS(TRIM(B31)="Sunshine Coast","Sunshine Coast Council",TRIM(B31)="Moreton Bay","City of Moreton Bay",TRIM(B31)="Gold Coast","City of Gold Coast",TRIM(B31)="Ipswich","Ipswich City Council",TRUE,"")</f>
        <v>City of Gold Coast</v>
      </c>
      <c r="D31" s="6" t="str" cm="1">
        <f t="array" ref="D31">_xlfn.IFS(TRIM(B31)="Sunshine Coast","Biosecurity &amp; Trade Waste Liquid Risk",TRIM(B31)="Moreton Bay","Commercial Effluent &amp; Sewer Network Blockage Risk",TRIM(B31)="Gold Coast","FOG (Fats, Oils &amp; Grease) Overload Risk",TRIM(B31)="Ipswich","Liquid Trade Waste Compliance &amp; Pathogen Risk",TRUE,"")</f>
        <v>FOG (Fats, Oils &amp; Grease) Overload Risk</v>
      </c>
      <c r="E31" s="6" t="str" cm="1">
        <f t="array" ref="E31">_xlfn.IFS(TRIM(B31)="Sunshine Coast","Grease Trap Maintenance Log &amp; Food Safety Supervisor Certificate Validation",TRIM(B31)="Moreton Bay","Unitywater Digital QR Code Tag Scan &amp; Settleable Solids Log",TRIM(B31)="Gold Coast","Licensed Liquid Waste Contractor Extraction &amp; Baffle Structural Check",TRIM(B31)="Ipswich","Urban Utilities Approved Sizing Metric &amp; 25% FOG Accumulation Audit",TRUE,"")</f>
        <v>Licensed Liquid Waste Contractor Extraction &amp; Baffle Structural Check</v>
      </c>
      <c r="F31" s="6" t="str" cm="1">
        <f t="array" ref="F31">_xlfn.IFS(TRIM(B31)="Sunshine Coast","A mandatory grease arrestor pump-out every 13 weeks minimum",TRIM(B31)="Moreton Bay","Mandatory compliance with Unitywater Trade Waste Policy &amp; scheduled pump-outs",TRIM(B31)="Gold Coast","All wastewater from food prep, floor wastes, and dishwashers must pass through approved trap",TRIM(B31)="Ipswich","Routine cleaning intervals mandated by Urban Utilities (ranging from 4 to 12 weeks)",TRUE,"")</f>
        <v>All wastewater from food prep, floor wastes, and dishwashers must pass through approved trap</v>
      </c>
      <c r="G31" s="6" t="str" cm="1">
        <f t="array" ref="G31">_xlfn.IFS(TRIM(B31)="Sunshine Coast", "Unitywater Trade Waste Permit / MS Loop Food Folder", TRIM(B31)="Moreton Bay", "Water Supply (Safety and Reliability) Act 2008 / Unitywater Policy", TRIM(B31)="Gold Coast", "City of Gold Coast Liquid Trade Waste Guidelines", TRIM(B31)="Ipswich", "Urban Utilities Trade Waste Program / Ipswich Environmental Health Regs", TRUE, "")</f>
        <v>City of Gold Coast Liquid Trade Waste Guidelines</v>
      </c>
    </row>
    <row r="32" spans="1:7" ht="15.6" x14ac:dyDescent="0.3">
      <c r="A32" s="4" t="s">
        <v>39</v>
      </c>
      <c r="B32" s="6" t="s">
        <v>38</v>
      </c>
      <c r="C32" s="6" t="str" cm="1">
        <f t="array" ref="C32">_xlfn.IFS(TRIM(B32)="Sunshine Coast","Sunshine Coast Council",TRIM(B32)="Moreton Bay","City of Moreton Bay",TRIM(B32)="Gold Coast","City of Gold Coast",TRIM(B32)="Ipswich","Ipswich City Council",TRUE,"")</f>
        <v>Ipswich City Council</v>
      </c>
      <c r="D32" s="6" t="str" cm="1">
        <f t="array" ref="D32">_xlfn.IFS(TRIM(B32)="Sunshine Coast","Biosecurity &amp; Trade Waste Liquid Risk",TRIM(B32)="Moreton Bay","Commercial Effluent &amp; Sewer Network Blockage Risk",TRIM(B32)="Gold Coast","FOG (Fats, Oils &amp; Grease) Overload Risk",TRIM(B32)="Ipswich","Liquid Trade Waste Compliance &amp; Pathogen Risk",TRUE,"")</f>
        <v>Liquid Trade Waste Compliance &amp; Pathogen Risk</v>
      </c>
      <c r="E32" s="6" t="str" cm="1">
        <f t="array" ref="E32">_xlfn.IFS(TRIM(B32)="Sunshine Coast","Grease Trap Maintenance Log &amp; Food Safety Supervisor Certificate Validation",TRIM(B32)="Moreton Bay","Unitywater Digital QR Code Tag Scan &amp; Settleable Solids Log",TRIM(B32)="Gold Coast","Licensed Liquid Waste Contractor Extraction &amp; Baffle Structural Check",TRIM(B32)="Ipswich","Urban Utilities Approved Sizing Metric &amp; 25% FOG Accumulation Audit",TRUE,"")</f>
        <v>Urban Utilities Approved Sizing Metric &amp; 25% FOG Accumulation Audit</v>
      </c>
      <c r="F32" s="6" t="str" cm="1">
        <f t="array" ref="F32">_xlfn.IFS(TRIM(B32)="Sunshine Coast","A mandatory grease arrestor pump-out every 13 weeks minimum",TRIM(B32)="Moreton Bay","Mandatory compliance with Unitywater Trade Waste Policy &amp; scheduled pump-outs",TRIM(B32)="Gold Coast","All wastewater from food prep, floor wastes, and dishwashers must pass through approved trap",TRIM(B32)="Ipswich","Routine cleaning intervals mandated by Urban Utilities (ranging from 4 to 12 weeks)",TRUE,"")</f>
        <v>Routine cleaning intervals mandated by Urban Utilities (ranging from 4 to 12 weeks)</v>
      </c>
      <c r="G32" s="6" t="str" cm="1">
        <f t="array" ref="G32">_xlfn.IFS(TRIM(B32)="Sunshine Coast", "Unitywater Trade Waste Permit / MS Loop Food Folder", TRIM(B32)="Moreton Bay", "Water Supply (Safety and Reliability) Act 2008 / Unitywater Policy", TRIM(B32)="Gold Coast", "City of Gold Coast Liquid Trade Waste Guidelines", TRIM(B32)="Ipswich", "Urban Utilities Trade Waste Program / Ipswich Environmental Health Regs", TRUE, "")</f>
        <v>Urban Utilities Trade Waste Program / Ipswich Environmental Health Regs</v>
      </c>
    </row>
    <row r="33" spans="1:7" ht="15.6" x14ac:dyDescent="0.3">
      <c r="A33" s="4" t="s">
        <v>26</v>
      </c>
      <c r="B33" s="6" t="s">
        <v>45</v>
      </c>
      <c r="C33" s="6" t="str" cm="1">
        <f t="array" ref="C33">_xlfn.IFS(TRIM(B33)="Sunshine Coast","Sunshine Coast Council",TRIM(B33)="Moreton Bay","City of Moreton Bay",TRIM(B33)="Gold Coast","City of Gold Coast",TRIM(B33)="Ipswich","Ipswich City Council",TRUE,"")</f>
        <v>City of Moreton Bay</v>
      </c>
      <c r="D33" s="6" t="str" cm="1">
        <f t="array" ref="D33">_xlfn.IFS(TRIM(B33)="Sunshine Coast","Biosecurity &amp; Trade Waste Liquid Risk",TRIM(B33)="Moreton Bay","Commercial Effluent &amp; Sewer Network Blockage Risk",TRIM(B33)="Gold Coast","FOG (Fats, Oils &amp; Grease) Overload Risk",TRIM(B33)="Ipswich","Liquid Trade Waste Compliance &amp; Pathogen Risk",TRUE,"")</f>
        <v>Commercial Effluent &amp; Sewer Network Blockage Risk</v>
      </c>
      <c r="E33" s="6" t="str" cm="1">
        <f t="array" ref="E33">_xlfn.IFS(TRIM(B33)="Sunshine Coast","Grease Trap Maintenance Log &amp; Food Safety Supervisor Certificate Validation",TRIM(B33)="Moreton Bay","Unitywater Digital QR Code Tag Scan &amp; Settleable Solids Log",TRIM(B33)="Gold Coast","Licensed Liquid Waste Contractor Extraction &amp; Baffle Structural Check",TRIM(B33)="Ipswich","Urban Utilities Approved Sizing Metric &amp; 25% FOG Accumulation Audit",TRUE,"")</f>
        <v>Unitywater Digital QR Code Tag Scan &amp; Settleable Solids Log</v>
      </c>
      <c r="F33" s="6" t="str" cm="1">
        <f t="array" ref="F33">_xlfn.IFS(TRIM(B33)="Sunshine Coast","A mandatory grease arrestor pump-out every 13 weeks minimum",TRIM(B33)="Moreton Bay","Mandatory compliance with Unitywater Trade Waste Policy &amp; scheduled pump-outs",TRIM(B33)="Gold Coast","All wastewater from food prep, floor wastes, and dishwashers must pass through approved trap",TRIM(B33)="Ipswich","Routine cleaning intervals mandated by Urban Utilities (ranging from 4 to 12 weeks)",TRUE,"")</f>
        <v>Mandatory compliance with Unitywater Trade Waste Policy &amp; scheduled pump-outs</v>
      </c>
      <c r="G33" s="6" t="str" cm="1">
        <f t="array" ref="G33">_xlfn.IFS(TRIM(B33)="Sunshine Coast", "Unitywater Trade Waste Permit / MS Loop Food Folder", TRIM(B33)="Moreton Bay", "Water Supply (Safety and Reliability) Act 2008 / Unitywater Policy", TRIM(B33)="Gold Coast", "City of Gold Coast Liquid Trade Waste Guidelines", TRIM(B33)="Ipswich", "Urban Utilities Trade Waste Program / Ipswich Environmental Health Regs", TRUE, "")</f>
        <v>Water Supply (Safety and Reliability) Act 2008 / Unitywater Policy</v>
      </c>
    </row>
    <row r="34" spans="1:7" ht="15.6" x14ac:dyDescent="0.3">
      <c r="A34" s="4" t="s">
        <v>41</v>
      </c>
      <c r="B34" s="6" t="s">
        <v>38</v>
      </c>
      <c r="C34" s="6" t="str" cm="1">
        <f t="array" ref="C34">_xlfn.IFS(TRIM(B34)="Sunshine Coast","Sunshine Coast Council",TRIM(B34)="Moreton Bay","City of Moreton Bay",TRIM(B34)="Gold Coast","City of Gold Coast",TRIM(B34)="Ipswich","Ipswich City Council",TRUE,"")</f>
        <v>Ipswich City Council</v>
      </c>
      <c r="D34" s="6" t="str" cm="1">
        <f t="array" ref="D34">_xlfn.IFS(TRIM(B34)="Sunshine Coast","Biosecurity &amp; Trade Waste Liquid Risk",TRIM(B34)="Moreton Bay","Commercial Effluent &amp; Sewer Network Blockage Risk",TRIM(B34)="Gold Coast","FOG (Fats, Oils &amp; Grease) Overload Risk",TRIM(B34)="Ipswich","Liquid Trade Waste Compliance &amp; Pathogen Risk",TRUE,"")</f>
        <v>Liquid Trade Waste Compliance &amp; Pathogen Risk</v>
      </c>
      <c r="E34" s="6" t="str" cm="1">
        <f t="array" ref="E34">_xlfn.IFS(TRIM(B34)="Sunshine Coast","Grease Trap Maintenance Log &amp; Food Safety Supervisor Certificate Validation",TRIM(B34)="Moreton Bay","Unitywater Digital QR Code Tag Scan &amp; Settleable Solids Log",TRIM(B34)="Gold Coast","Licensed Liquid Waste Contractor Extraction &amp; Baffle Structural Check",TRIM(B34)="Ipswich","Urban Utilities Approved Sizing Metric &amp; 25% FOG Accumulation Audit",TRUE,"")</f>
        <v>Urban Utilities Approved Sizing Metric &amp; 25% FOG Accumulation Audit</v>
      </c>
      <c r="F34" s="6" t="str" cm="1">
        <f t="array" ref="F34">_xlfn.IFS(TRIM(B34)="Sunshine Coast","A mandatory grease arrestor pump-out every 13 weeks minimum",TRIM(B34)="Moreton Bay","Mandatory compliance with Unitywater Trade Waste Policy &amp; scheduled pump-outs",TRIM(B34)="Gold Coast","All wastewater from food prep, floor wastes, and dishwashers must pass through approved trap",TRIM(B34)="Ipswich","Routine cleaning intervals mandated by Urban Utilities (ranging from 4 to 12 weeks)",TRUE,"")</f>
        <v>Routine cleaning intervals mandated by Urban Utilities (ranging from 4 to 12 weeks)</v>
      </c>
      <c r="G34" s="6" t="str" cm="1">
        <f t="array" ref="G34">_xlfn.IFS(TRIM(B34)="Sunshine Coast", "Unitywater Trade Waste Permit / MS Loop Food Folder", TRIM(B34)="Moreton Bay", "Water Supply (Safety and Reliability) Act 2008 / Unitywater Policy", TRIM(B34)="Gold Coast", "City of Gold Coast Liquid Trade Waste Guidelines", TRIM(B34)="Ipswich", "Urban Utilities Trade Waste Program / Ipswich Environmental Health Regs", TRUE, "")</f>
        <v>Urban Utilities Trade Waste Program / Ipswich Environmental Health Regs</v>
      </c>
    </row>
    <row r="35" spans="1:7" ht="15.6" x14ac:dyDescent="0.3">
      <c r="A35" s="4" t="s">
        <v>42</v>
      </c>
      <c r="B35" s="6" t="s">
        <v>38</v>
      </c>
      <c r="C35" s="6" t="str" cm="1">
        <f t="array" ref="C35">_xlfn.IFS(TRIM(B35)="Sunshine Coast","Sunshine Coast Council",TRIM(B35)="Moreton Bay","City of Moreton Bay",TRIM(B35)="Gold Coast","City of Gold Coast",TRIM(B35)="Ipswich","Ipswich City Council",TRUE,"")</f>
        <v>Ipswich City Council</v>
      </c>
      <c r="D35" s="6" t="str" cm="1">
        <f t="array" ref="D35">_xlfn.IFS(TRIM(B35)="Sunshine Coast","Biosecurity &amp; Trade Waste Liquid Risk",TRIM(B35)="Moreton Bay","Commercial Effluent &amp; Sewer Network Blockage Risk",TRIM(B35)="Gold Coast","FOG (Fats, Oils &amp; Grease) Overload Risk",TRIM(B35)="Ipswich","Liquid Trade Waste Compliance &amp; Pathogen Risk",TRUE,"")</f>
        <v>Liquid Trade Waste Compliance &amp; Pathogen Risk</v>
      </c>
      <c r="E35" s="6" t="str" cm="1">
        <f t="array" ref="E35">_xlfn.IFS(TRIM(B35)="Sunshine Coast","Grease Trap Maintenance Log &amp; Food Safety Supervisor Certificate Validation",TRIM(B35)="Moreton Bay","Unitywater Digital QR Code Tag Scan &amp; Settleable Solids Log",TRIM(B35)="Gold Coast","Licensed Liquid Waste Contractor Extraction &amp; Baffle Structural Check",TRIM(B35)="Ipswich","Urban Utilities Approved Sizing Metric &amp; 25% FOG Accumulation Audit",TRUE,"")</f>
        <v>Urban Utilities Approved Sizing Metric &amp; 25% FOG Accumulation Audit</v>
      </c>
      <c r="F35" s="6" t="str" cm="1">
        <f t="array" ref="F35">_xlfn.IFS(TRIM(B35)="Sunshine Coast","A mandatory grease arrestor pump-out every 13 weeks minimum",TRIM(B35)="Moreton Bay","Mandatory compliance with Unitywater Trade Waste Policy &amp; scheduled pump-outs",TRIM(B35)="Gold Coast","All wastewater from food prep, floor wastes, and dishwashers must pass through approved trap",TRIM(B35)="Ipswich","Routine cleaning intervals mandated by Urban Utilities (ranging from 4 to 12 weeks)",TRUE,"")</f>
        <v>Routine cleaning intervals mandated by Urban Utilities (ranging from 4 to 12 weeks)</v>
      </c>
      <c r="G35" s="6" t="str" cm="1">
        <f t="array" ref="G35">_xlfn.IFS(TRIM(B35)="Sunshine Coast", "Unitywater Trade Waste Permit / MS Loop Food Folder", TRIM(B35)="Moreton Bay", "Water Supply (Safety and Reliability) Act 2008 / Unitywater Policy", TRIM(B35)="Gold Coast", "City of Gold Coast Liquid Trade Waste Guidelines", TRIM(B35)="Ipswich", "Urban Utilities Trade Waste Program / Ipswich Environmental Health Regs", TRUE, "")</f>
        <v>Urban Utilities Trade Waste Program / Ipswich Environmental Health Regs</v>
      </c>
    </row>
    <row r="36" spans="1:7" ht="15.6" x14ac:dyDescent="0.3">
      <c r="A36" s="4" t="s">
        <v>24</v>
      </c>
      <c r="B36" s="6" t="s">
        <v>44</v>
      </c>
      <c r="C36" s="6" t="str" cm="1">
        <f t="array" ref="C36">_xlfn.IFS(TRIM(B36)="Sunshine Coast","Sunshine Coast Council",TRIM(B36)="Moreton Bay","City of Moreton Bay",TRIM(B36)="Gold Coast","City of Gold Coast",TRIM(B36)="Ipswich","Ipswich City Council",TRUE,"")</f>
        <v>City of Gold Coast</v>
      </c>
      <c r="D36" s="6" t="str" cm="1">
        <f t="array" ref="D36">_xlfn.IFS(TRIM(B36)="Sunshine Coast","Biosecurity &amp; Trade Waste Liquid Risk",TRIM(B36)="Moreton Bay","Commercial Effluent &amp; Sewer Network Blockage Risk",TRIM(B36)="Gold Coast","FOG (Fats, Oils &amp; Grease) Overload Risk",TRIM(B36)="Ipswich","Liquid Trade Waste Compliance &amp; Pathogen Risk",TRUE,"")</f>
        <v>FOG (Fats, Oils &amp; Grease) Overload Risk</v>
      </c>
      <c r="E36" s="6" t="str" cm="1">
        <f t="array" ref="E36">_xlfn.IFS(TRIM(B36)="Sunshine Coast","Grease Trap Maintenance Log &amp; Food Safety Supervisor Certificate Validation",TRIM(B36)="Moreton Bay","Unitywater Digital QR Code Tag Scan &amp; Settleable Solids Log",TRIM(B36)="Gold Coast","Licensed Liquid Waste Contractor Extraction &amp; Baffle Structural Check",TRIM(B36)="Ipswich","Urban Utilities Approved Sizing Metric &amp; 25% FOG Accumulation Audit",TRUE,"")</f>
        <v>Licensed Liquid Waste Contractor Extraction &amp; Baffle Structural Check</v>
      </c>
      <c r="F36" s="6" t="str" cm="1">
        <f t="array" ref="F36">_xlfn.IFS(TRIM(B36)="Sunshine Coast","A mandatory grease arrestor pump-out every 13 weeks minimum",TRIM(B36)="Moreton Bay","Mandatory compliance with Unitywater Trade Waste Policy &amp; scheduled pump-outs",TRIM(B36)="Gold Coast","All wastewater from food prep, floor wastes, and dishwashers must pass through approved trap",TRIM(B36)="Ipswich","Routine cleaning intervals mandated by Urban Utilities (ranging from 4 to 12 weeks)",TRUE,"")</f>
        <v>All wastewater from food prep, floor wastes, and dishwashers must pass through approved trap</v>
      </c>
      <c r="G36" s="6" t="str" cm="1">
        <f t="array" ref="G36">_xlfn.IFS(TRIM(B36)="Sunshine Coast", "Unitywater Trade Waste Permit / MS Loop Food Folder", TRIM(B36)="Moreton Bay", "Water Supply (Safety and Reliability) Act 2008 / Unitywater Policy", TRIM(B36)="Gold Coast", "City of Gold Coast Liquid Trade Waste Guidelines", TRIM(B36)="Ipswich", "Urban Utilities Trade Waste Program / Ipswich Environmental Health Regs", TRUE, "")</f>
        <v>City of Gold Coast Liquid Trade Waste Guidelines</v>
      </c>
    </row>
    <row r="37" spans="1:7" ht="15.6" x14ac:dyDescent="0.3">
      <c r="A37" s="4" t="s">
        <v>40</v>
      </c>
      <c r="B37" s="6" t="s">
        <v>38</v>
      </c>
      <c r="C37" s="6" t="str" cm="1">
        <f t="array" ref="C37">_xlfn.IFS(TRIM(B37)="Sunshine Coast","Sunshine Coast Council",TRIM(B37)="Moreton Bay","City of Moreton Bay",TRIM(B37)="Gold Coast","City of Gold Coast",TRIM(B37)="Ipswich","Ipswich City Council",TRUE,"")</f>
        <v>Ipswich City Council</v>
      </c>
      <c r="D37" s="6" t="str" cm="1">
        <f t="array" ref="D37">_xlfn.IFS(TRIM(B37)="Sunshine Coast","Biosecurity &amp; Trade Waste Liquid Risk",TRIM(B37)="Moreton Bay","Commercial Effluent &amp; Sewer Network Blockage Risk",TRIM(B37)="Gold Coast","FOG (Fats, Oils &amp; Grease) Overload Risk",TRIM(B37)="Ipswich","Liquid Trade Waste Compliance &amp; Pathogen Risk",TRUE,"")</f>
        <v>Liquid Trade Waste Compliance &amp; Pathogen Risk</v>
      </c>
      <c r="E37" s="6" t="str" cm="1">
        <f t="array" ref="E37">_xlfn.IFS(TRIM(B37)="Sunshine Coast","Grease Trap Maintenance Log &amp; Food Safety Supervisor Certificate Validation",TRIM(B37)="Moreton Bay","Unitywater Digital QR Code Tag Scan &amp; Settleable Solids Log",TRIM(B37)="Gold Coast","Licensed Liquid Waste Contractor Extraction &amp; Baffle Structural Check",TRIM(B37)="Ipswich","Urban Utilities Approved Sizing Metric &amp; 25% FOG Accumulation Audit",TRUE,"")</f>
        <v>Urban Utilities Approved Sizing Metric &amp; 25% FOG Accumulation Audit</v>
      </c>
      <c r="F37" s="6" t="str" cm="1">
        <f t="array" ref="F37">_xlfn.IFS(TRIM(B37)="Sunshine Coast","A mandatory grease arrestor pump-out every 13 weeks minimum",TRIM(B37)="Moreton Bay","Mandatory compliance with Unitywater Trade Waste Policy &amp; scheduled pump-outs",TRIM(B37)="Gold Coast","All wastewater from food prep, floor wastes, and dishwashers must pass through approved trap",TRIM(B37)="Ipswich","Routine cleaning intervals mandated by Urban Utilities (ranging from 4 to 12 weeks)",TRUE,"")</f>
        <v>Routine cleaning intervals mandated by Urban Utilities (ranging from 4 to 12 weeks)</v>
      </c>
      <c r="G37" s="6" t="str" cm="1">
        <f t="array" ref="G37">_xlfn.IFS(TRIM(B37)="Sunshine Coast", "Unitywater Trade Waste Permit / MS Loop Food Folder", TRIM(B37)="Moreton Bay", "Water Supply (Safety and Reliability) Act 2008 / Unitywater Policy", TRIM(B37)="Gold Coast", "City of Gold Coast Liquid Trade Waste Guidelines", TRIM(B37)="Ipswich", "Urban Utilities Trade Waste Program / Ipswich Environmental Health Regs", TRUE, "")</f>
        <v>Urban Utilities Trade Waste Program / Ipswich Environmental Health Regs</v>
      </c>
    </row>
    <row r="38" spans="1:7" ht="15" x14ac:dyDescent="0.3">
      <c r="A38" s="3" t="s">
        <v>7</v>
      </c>
      <c r="B38" s="6" t="s">
        <v>43</v>
      </c>
      <c r="C38" s="6" t="str" cm="1">
        <f t="array" ref="C38">_xlfn.IFS(TRIM(B38)="Sunshine Coast","Sunshine Coast Council",TRIM(B38)="Moreton Bay","City of Moreton Bay",TRIM(B38)="Gold Coast","City of Gold Coast",TRIM(B38)="Ipswich","Ipswich City Council",TRUE,"")</f>
        <v>Sunshine Coast Council</v>
      </c>
      <c r="D38" s="6" t="str" cm="1">
        <f t="array" ref="D38">_xlfn.IFS(TRIM(B38)="Sunshine Coast","Biosecurity &amp; Trade Waste Liquid Risk",TRIM(B38)="Moreton Bay","Commercial Effluent &amp; Sewer Network Blockage Risk",TRIM(B38)="Gold Coast","FOG (Fats, Oils &amp; Grease) Overload Risk",TRIM(B38)="Ipswich","Liquid Trade Waste Compliance &amp; Pathogen Risk",TRUE,"")</f>
        <v>Biosecurity &amp; Trade Waste Liquid Risk</v>
      </c>
      <c r="E38" s="6" t="str" cm="1">
        <f t="array" ref="E38">_xlfn.IFS(TRIM(B38)="Sunshine Coast","Grease Trap Maintenance Log &amp; Food Safety Supervisor Certificate Validation",TRIM(B38)="Moreton Bay","Unitywater Digital QR Code Tag Scan &amp; Settleable Solids Log",TRIM(B38)="Gold Coast","Licensed Liquid Waste Contractor Extraction &amp; Baffle Structural Check",TRIM(B38)="Ipswich","Urban Utilities Approved Sizing Metric &amp; 25% FOG Accumulation Audit",TRUE,"")</f>
        <v>Grease Trap Maintenance Log &amp; Food Safety Supervisor Certificate Validation</v>
      </c>
      <c r="F38" s="6" t="str" cm="1">
        <f t="array" ref="F38">_xlfn.IFS(TRIM(B38)="Sunshine Coast","A mandatory grease arrestor pump-out every 13 weeks minimum",TRIM(B38)="Moreton Bay","Mandatory compliance with Unitywater Trade Waste Policy &amp; scheduled pump-outs",TRIM(B38)="Gold Coast","All wastewater from food prep, floor wastes, and dishwashers must pass through approved trap",TRIM(B38)="Ipswich","Routine cleaning intervals mandated by Urban Utilities (ranging from 4 to 12 weeks)",TRUE,"")</f>
        <v>A mandatory grease arrestor pump-out every 13 weeks minimum</v>
      </c>
      <c r="G38" s="6" t="str" cm="1">
        <f t="array" ref="G38">_xlfn.IFS(TRIM(B38)="Sunshine Coast", "Unitywater Trade Waste Permit / MS Loop Food Folder", TRIM(B38)="Moreton Bay", "Water Supply (Safety and Reliability) Act 2008 / Unitywater Policy", TRIM(B38)="Gold Coast", "City of Gold Coast Liquid Trade Waste Guidelines", TRIM(B38)="Ipswich", "Urban Utilities Trade Waste Program / Ipswich Environmental Health Regs", TRUE, "")</f>
        <v>Unitywater Trade Waste Permit / MS Loop Food Folder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AC1A-465F-44E1-831F-BBDC962B9C4B}">
  <dimension ref="A1:I38"/>
  <sheetViews>
    <sheetView workbookViewId="0">
      <selection activeCell="J11" sqref="J11"/>
    </sheetView>
  </sheetViews>
  <sheetFormatPr defaultRowHeight="14.4" x14ac:dyDescent="0.3"/>
  <cols>
    <col min="1" max="1" width="24.33203125" bestFit="1" customWidth="1"/>
    <col min="2" max="2" width="21.109375" customWidth="1"/>
    <col min="3" max="3" width="28.6640625" customWidth="1"/>
    <col min="4" max="4" width="47.33203125" bestFit="1" customWidth="1"/>
    <col min="5" max="5" width="77.77734375" bestFit="1" customWidth="1"/>
    <col min="6" max="6" width="90.77734375" bestFit="1" customWidth="1"/>
    <col min="7" max="7" width="66.21875" bestFit="1" customWidth="1"/>
    <col min="9" max="9" width="10.109375" bestFit="1" customWidth="1"/>
  </cols>
  <sheetData>
    <row r="1" spans="1:9" ht="46.8" thickBot="1" x14ac:dyDescent="0.35">
      <c r="A1" s="7" t="s">
        <v>51</v>
      </c>
      <c r="B1" s="7"/>
      <c r="C1" s="7"/>
      <c r="D1" s="7"/>
      <c r="E1" s="7"/>
      <c r="F1" s="7"/>
      <c r="G1" s="7"/>
      <c r="H1" t="s">
        <v>15</v>
      </c>
      <c r="I1" t="s">
        <v>16</v>
      </c>
    </row>
    <row r="2" spans="1:9" ht="69.599999999999994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</v>
      </c>
      <c r="G2" s="1" t="s">
        <v>14</v>
      </c>
    </row>
    <row r="3" spans="1:9" ht="15" x14ac:dyDescent="0.3">
      <c r="A3" s="3" t="s">
        <v>0</v>
      </c>
      <c r="B3" s="6" t="s">
        <v>43</v>
      </c>
      <c r="C3" s="6" t="str" cm="1">
        <f t="array" ref="C3">_xlfn.IFS(TRIM(B3)="Sunshine Coast","Sunshine Coast Council",TRIM(B3)="Moreton Bay","City of Moreton Bay",TRIM(B3)="Gold Coast","City of Gold Coast",TRIM(B3)="Ipswich","Ipswich City Council",TRUE,"")</f>
        <v>Sunshine Coast Council</v>
      </c>
      <c r="D3" s="6" t="str" cm="1">
        <f t="array" ref="D3">_xlfn.IFS(TRIM(B3)="Sunshine Coast", "Combustible Dust Control &amp; Air Quality Risk", TRIM(B3)="Moreton Bay", "Surface Coating &amp; Hazardous Chemical Vapor Risk", TRIM(B3)="Gold Coast", "Industrial Noise &amp; Fine Particulate Matter Risk", TRIM(B3)="Ipswich", "Solid Timber Waste &amp; Stockpile Fire Risk", TRUE, "")</f>
        <v>Combustible Dust Control &amp; Air Quality Risk</v>
      </c>
      <c r="E3" s="6" t="str" cm="1">
        <f t="array" ref="E3">_xlfn.IFS(TRIM(B3)="Sunshine Coast", "LEV (Local Exhaust Ventilation) Particle Testing &amp; Pressure Drop Log", TRIM(B3)="Moreton Bay", "Spray Booth Airflow Velocity Log &amp; VOC Emission Check", TRIM(B3)="Gold Coast", "Boundary Acoustic dB Measurement &amp; Baghouse Filter Differential Pressure Audit", TRIM(B3)="Ipswich", "Timber Waste Skip Clearance Frequency &amp; Dust Extraction Silo Spark Detection Log", TRUE, "")</f>
        <v>LEV (Local Exhaust Ventilation) Particle Testing &amp; Pressure Drop Log</v>
      </c>
      <c r="F3" s="6" t="str" cm="1">
        <f t="array" ref="F3">_xlfn.IFS(TRIM(B3)="Sunshine Coast", "Maintain dust extraction air velocity above 20 m/s at all extraction hoods", TRIM(B3)="Moreton Bay", "Comply with AS/NZS 4114 for spray painting booths and maintain active charcoal filters", TRIM(B3)="Gold Coast", "Enclose high-noise machinery (CNC routers, planers) and monitor exhaust filter integrity daily", TRIM(B3)="Ipswich", "Clear sawdust silos before reaching 80% capacity and separate treated vs. untreated timber scraps", TRUE, "")</f>
        <v>Maintain dust extraction air velocity above 20 m/s at all extraction hoods</v>
      </c>
      <c r="G3" s="6" t="str" cm="1">
        <f t="array" ref="G3">_xlfn.IFS(TRIM(B3)="Sunshine Coast", "WorkSafe QLD Woodworking Code / MS Loop Furniture Folder", TRIM(B3)="Moreton Bay", "Environmental Protection Regulation 2019 (Surface Coating)", TRIM(B3)="Gold Coast", "City of Gold Coast Noise Management Guidelines", TRIM(B3)="Ipswich", "Ipswich City Council Waste Management Bylaws / Loop Master Register", TRUE, "")</f>
        <v>WorkSafe QLD Woodworking Code / MS Loop Furniture Folder</v>
      </c>
    </row>
    <row r="4" spans="1:9" ht="15" x14ac:dyDescent="0.3">
      <c r="A4" s="3" t="s">
        <v>2</v>
      </c>
      <c r="B4" s="6" t="s">
        <v>43</v>
      </c>
      <c r="C4" s="6" t="str" cm="1">
        <f t="array" ref="C4">_xlfn.IFS(TRIM(B4)="Sunshine Coast","Sunshine Coast Council",TRIM(B4)="Moreton Bay","City of Moreton Bay",TRIM(B4)="Gold Coast","City of Gold Coast",TRIM(B4)="Ipswich","Ipswich City Council",TRUE,"")</f>
        <v>Sunshine Coast Council</v>
      </c>
      <c r="D4" s="6" t="str" cm="1">
        <f t="array" ref="D4">_xlfn.IFS(TRIM(B4)="Sunshine Coast", "Combustible Dust Control &amp; Air Quality Risk", TRIM(B4)="Moreton Bay", "Surface Coating &amp; Hazardous Chemical Vapor Risk", TRIM(B4)="Gold Coast", "Industrial Noise &amp; Fine Particulate Matter Risk", TRIM(B4)="Ipswich", "Solid Timber Waste &amp; Stockpile Fire Risk", TRUE, "")</f>
        <v>Combustible Dust Control &amp; Air Quality Risk</v>
      </c>
      <c r="E4" s="6" t="str" cm="1">
        <f t="array" ref="E4">_xlfn.IFS(TRIM(B4)="Sunshine Coast", "LEV (Local Exhaust Ventilation) Particle Testing &amp; Pressure Drop Log", TRIM(B4)="Moreton Bay", "Spray Booth Airflow Velocity Log &amp; VOC Emission Check", TRIM(B4)="Gold Coast", "Boundary Acoustic dB Measurement &amp; Baghouse Filter Differential Pressure Audit", TRIM(B4)="Ipswich", "Timber Waste Skip Clearance Frequency &amp; Dust Extraction Silo Spark Detection Log", TRUE, "")</f>
        <v>LEV (Local Exhaust Ventilation) Particle Testing &amp; Pressure Drop Log</v>
      </c>
      <c r="F4" s="6" t="str" cm="1">
        <f t="array" ref="F4">_xlfn.IFS(TRIM(B4)="Sunshine Coast", "Maintain dust extraction air velocity above 20 m/s at all extraction hoods", TRIM(B4)="Moreton Bay", "Comply with AS/NZS 4114 for spray painting booths and maintain active charcoal filters", TRIM(B4)="Gold Coast", "Enclose high-noise machinery (CNC routers, planers) and monitor exhaust filter integrity daily", TRIM(B4)="Ipswich", "Clear sawdust silos before reaching 80% capacity and separate treated vs. untreated timber scraps", TRUE, "")</f>
        <v>Maintain dust extraction air velocity above 20 m/s at all extraction hoods</v>
      </c>
      <c r="G4" s="6" t="str" cm="1">
        <f t="array" ref="G4">_xlfn.IFS(TRIM(B4)="Sunshine Coast", "WorkSafe QLD Woodworking Code / MS Loop Furniture Folder", TRIM(B4)="Moreton Bay", "Environmental Protection Regulation 2019 (Surface Coating)", TRIM(B4)="Gold Coast", "City of Gold Coast Noise Management Guidelines", TRIM(B4)="Ipswich", "Ipswich City Council Waste Management Bylaws / Loop Master Register", TRUE, "")</f>
        <v>WorkSafe QLD Woodworking Code / MS Loop Furniture Folder</v>
      </c>
    </row>
    <row r="5" spans="1:9" ht="15.6" x14ac:dyDescent="0.3">
      <c r="A5" s="4" t="s">
        <v>34</v>
      </c>
      <c r="B5" s="6" t="s">
        <v>45</v>
      </c>
      <c r="C5" s="6" t="str" cm="1">
        <f t="array" ref="C5">_xlfn.IFS(TRIM(B5)="Sunshine Coast","Sunshine Coast Council",TRIM(B5)="Moreton Bay","City of Moreton Bay",TRIM(B5)="Gold Coast","City of Gold Coast",TRIM(B5)="Ipswich","Ipswich City Council",TRUE,"")</f>
        <v>City of Moreton Bay</v>
      </c>
      <c r="D5" s="6" t="str" cm="1">
        <f t="array" ref="D5">_xlfn.IFS(TRIM(B5)="Sunshine Coast", "Combustible Dust Control &amp; Air Quality Risk", TRIM(B5)="Moreton Bay", "Surface Coating &amp; Hazardous Chemical Vapor Risk", TRIM(B5)="Gold Coast", "Industrial Noise &amp; Fine Particulate Matter Risk", TRIM(B5)="Ipswich", "Solid Timber Waste &amp; Stockpile Fire Risk", TRUE, "")</f>
        <v>Surface Coating &amp; Hazardous Chemical Vapor Risk</v>
      </c>
      <c r="E5" s="6" t="str" cm="1">
        <f t="array" ref="E5">_xlfn.IFS(TRIM(B5)="Sunshine Coast", "LEV (Local Exhaust Ventilation) Particle Testing &amp; Pressure Drop Log", TRIM(B5)="Moreton Bay", "Spray Booth Airflow Velocity Log &amp; VOC Emission Check", TRIM(B5)="Gold Coast", "Boundary Acoustic dB Measurement &amp; Baghouse Filter Differential Pressure Audit", TRIM(B5)="Ipswich", "Timber Waste Skip Clearance Frequency &amp; Dust Extraction Silo Spark Detection Log", TRUE, "")</f>
        <v>Spray Booth Airflow Velocity Log &amp; VOC Emission Check</v>
      </c>
      <c r="F5" s="6" t="str" cm="1">
        <f t="array" ref="F5">_xlfn.IFS(TRIM(B5)="Sunshine Coast", "Maintain dust extraction air velocity above 20 m/s at all extraction hoods", TRIM(B5)="Moreton Bay", "Comply with AS/NZS 4114 for spray painting booths and maintain active charcoal filters", TRIM(B5)="Gold Coast", "Enclose high-noise machinery (CNC routers, planers) and monitor exhaust filter integrity daily", TRIM(B5)="Ipswich", "Clear sawdust silos before reaching 80% capacity and separate treated vs. untreated timber scraps", TRUE, "")</f>
        <v>Comply with AS/NZS 4114 for spray painting booths and maintain active charcoal filters</v>
      </c>
      <c r="G5" s="6" t="str" cm="1">
        <f t="array" ref="G5">_xlfn.IFS(TRIM(B5)="Sunshine Coast", "WorkSafe QLD Woodworking Code / MS Loop Furniture Folder", TRIM(B5)="Moreton Bay", "Environmental Protection Regulation 2019 (Surface Coating)", TRIM(B5)="Gold Coast", "City of Gold Coast Noise Management Guidelines", TRIM(B5)="Ipswich", "Ipswich City Council Waste Management Bylaws / Loop Master Register", TRUE, "")</f>
        <v>Environmental Protection Regulation 2019 (Surface Coating)</v>
      </c>
    </row>
    <row r="6" spans="1:9" ht="15.6" x14ac:dyDescent="0.3">
      <c r="A6" s="4" t="s">
        <v>32</v>
      </c>
      <c r="B6" s="6" t="s">
        <v>45</v>
      </c>
      <c r="C6" s="6" t="str" cm="1">
        <f t="array" ref="C6">_xlfn.IFS(TRIM(B6)="Sunshine Coast","Sunshine Coast Council",TRIM(B6)="Moreton Bay","City of Moreton Bay",TRIM(B6)="Gold Coast","City of Gold Coast",TRIM(B6)="Ipswich","Ipswich City Council",TRUE,"")</f>
        <v>City of Moreton Bay</v>
      </c>
      <c r="D6" s="6" t="str" cm="1">
        <f t="array" ref="D6">_xlfn.IFS(TRIM(B6)="Sunshine Coast", "Combustible Dust Control &amp; Air Quality Risk", TRIM(B6)="Moreton Bay", "Surface Coating &amp; Hazardous Chemical Vapor Risk", TRIM(B6)="Gold Coast", "Industrial Noise &amp; Fine Particulate Matter Risk", TRIM(B6)="Ipswich", "Solid Timber Waste &amp; Stockpile Fire Risk", TRUE, "")</f>
        <v>Surface Coating &amp; Hazardous Chemical Vapor Risk</v>
      </c>
      <c r="E6" s="6" t="str" cm="1">
        <f t="array" ref="E6">_xlfn.IFS(TRIM(B6)="Sunshine Coast", "LEV (Local Exhaust Ventilation) Particle Testing &amp; Pressure Drop Log", TRIM(B6)="Moreton Bay", "Spray Booth Airflow Velocity Log &amp; VOC Emission Check", TRIM(B6)="Gold Coast", "Boundary Acoustic dB Measurement &amp; Baghouse Filter Differential Pressure Audit", TRIM(B6)="Ipswich", "Timber Waste Skip Clearance Frequency &amp; Dust Extraction Silo Spark Detection Log", TRUE, "")</f>
        <v>Spray Booth Airflow Velocity Log &amp; VOC Emission Check</v>
      </c>
      <c r="F6" s="6" t="str" cm="1">
        <f t="array" ref="F6">_xlfn.IFS(TRIM(B6)="Sunshine Coast", "Maintain dust extraction air velocity above 20 m/s at all extraction hoods", TRIM(B6)="Moreton Bay", "Comply with AS/NZS 4114 for spray painting booths and maintain active charcoal filters", TRIM(B6)="Gold Coast", "Enclose high-noise machinery (CNC routers, planers) and monitor exhaust filter integrity daily", TRIM(B6)="Ipswich", "Clear sawdust silos before reaching 80% capacity and separate treated vs. untreated timber scraps", TRUE, "")</f>
        <v>Comply with AS/NZS 4114 for spray painting booths and maintain active charcoal filters</v>
      </c>
      <c r="G6" s="6" t="str" cm="1">
        <f t="array" ref="G6">_xlfn.IFS(TRIM(B6)="Sunshine Coast", "WorkSafe QLD Woodworking Code / MS Loop Furniture Folder", TRIM(B6)="Moreton Bay", "Environmental Protection Regulation 2019 (Surface Coating)", TRIM(B6)="Gold Coast", "City of Gold Coast Noise Management Guidelines", TRIM(B6)="Ipswich", "Ipswich City Council Waste Management Bylaws / Loop Master Register", TRUE, "")</f>
        <v>Environmental Protection Regulation 2019 (Surface Coating)</v>
      </c>
    </row>
    <row r="7" spans="1:9" ht="15.6" x14ac:dyDescent="0.3">
      <c r="A7" s="4" t="s">
        <v>19</v>
      </c>
      <c r="B7" s="6" t="s">
        <v>44</v>
      </c>
      <c r="C7" s="6" t="str" cm="1">
        <f t="array" ref="C7">_xlfn.IFS(TRIM(B7)="Sunshine Coast","Sunshine Coast Council",TRIM(B7)="Moreton Bay","City of Moreton Bay",TRIM(B7)="Gold Coast","City of Gold Coast",TRIM(B7)="Ipswich","Ipswich City Council",TRUE,"")</f>
        <v>City of Gold Coast</v>
      </c>
      <c r="D7" s="6" t="str" cm="1">
        <f t="array" ref="D7">_xlfn.IFS(TRIM(B7)="Sunshine Coast", "Combustible Dust Control &amp; Air Quality Risk", TRIM(B7)="Moreton Bay", "Surface Coating &amp; Hazardous Chemical Vapor Risk", TRIM(B7)="Gold Coast", "Industrial Noise &amp; Fine Particulate Matter Risk", TRIM(B7)="Ipswich", "Solid Timber Waste &amp; Stockpile Fire Risk", TRUE, "")</f>
        <v>Industrial Noise &amp; Fine Particulate Matter Risk</v>
      </c>
      <c r="E7" s="6" t="str" cm="1">
        <f t="array" ref="E7">_xlfn.IFS(TRIM(B7)="Sunshine Coast", "LEV (Local Exhaust Ventilation) Particle Testing &amp; Pressure Drop Log", TRIM(B7)="Moreton Bay", "Spray Booth Airflow Velocity Log &amp; VOC Emission Check", TRIM(B7)="Gold Coast", "Boundary Acoustic dB Measurement &amp; Baghouse Filter Differential Pressure Audit", TRIM(B7)="Ipswich", "Timber Waste Skip Clearance Frequency &amp; Dust Extraction Silo Spark Detection Log", TRUE, "")</f>
        <v>Boundary Acoustic dB Measurement &amp; Baghouse Filter Differential Pressure Audit</v>
      </c>
      <c r="F7" s="6" t="str" cm="1">
        <f t="array" ref="F7">_xlfn.IFS(TRIM(B7)="Sunshine Coast", "Maintain dust extraction air velocity above 20 m/s at all extraction hoods", TRIM(B7)="Moreton Bay", "Comply with AS/NZS 4114 for spray painting booths and maintain active charcoal filters", TRIM(B7)="Gold Coast", "Enclose high-noise machinery (CNC routers, planers) and monitor exhaust filter integrity daily", TRIM(B7)="Ipswich", "Clear sawdust silos before reaching 80% capacity and separate treated vs. untreated timber scraps", TRUE, "")</f>
        <v>Enclose high-noise machinery (CNC routers, planers) and monitor exhaust filter integrity daily</v>
      </c>
      <c r="G7" s="6" t="str" cm="1">
        <f t="array" ref="G7">_xlfn.IFS(TRIM(B7)="Sunshine Coast", "WorkSafe QLD Woodworking Code / MS Loop Furniture Folder", TRIM(B7)="Moreton Bay", "Environmental Protection Regulation 2019 (Surface Coating)", TRIM(B7)="Gold Coast", "City of Gold Coast Noise Management Guidelines", TRIM(B7)="Ipswich", "Ipswich City Council Waste Management Bylaws / Loop Master Register", TRUE, "")</f>
        <v>City of Gold Coast Noise Management Guidelines</v>
      </c>
    </row>
    <row r="8" spans="1:9" ht="15.6" x14ac:dyDescent="0.3">
      <c r="A8" s="4" t="s">
        <v>36</v>
      </c>
      <c r="B8" s="6" t="s">
        <v>45</v>
      </c>
      <c r="C8" s="6" t="str" cm="1">
        <f t="array" ref="C8">_xlfn.IFS(TRIM(B8)="Sunshine Coast","Sunshine Coast Council",TRIM(B8)="Moreton Bay","City of Moreton Bay",TRIM(B8)="Gold Coast","City of Gold Coast",TRIM(B8)="Ipswich","Ipswich City Council",TRUE,"")</f>
        <v>City of Moreton Bay</v>
      </c>
      <c r="D8" s="6" t="str" cm="1">
        <f t="array" ref="D8">_xlfn.IFS(TRIM(B8)="Sunshine Coast", "Combustible Dust Control &amp; Air Quality Risk", TRIM(B8)="Moreton Bay", "Surface Coating &amp; Hazardous Chemical Vapor Risk", TRIM(B8)="Gold Coast", "Industrial Noise &amp; Fine Particulate Matter Risk", TRIM(B8)="Ipswich", "Solid Timber Waste &amp; Stockpile Fire Risk", TRUE, "")</f>
        <v>Surface Coating &amp; Hazardous Chemical Vapor Risk</v>
      </c>
      <c r="E8" s="6" t="str" cm="1">
        <f t="array" ref="E8">_xlfn.IFS(TRIM(B8)="Sunshine Coast", "LEV (Local Exhaust Ventilation) Particle Testing &amp; Pressure Drop Log", TRIM(B8)="Moreton Bay", "Spray Booth Airflow Velocity Log &amp; VOC Emission Check", TRIM(B8)="Gold Coast", "Boundary Acoustic dB Measurement &amp; Baghouse Filter Differential Pressure Audit", TRIM(B8)="Ipswich", "Timber Waste Skip Clearance Frequency &amp; Dust Extraction Silo Spark Detection Log", TRUE, "")</f>
        <v>Spray Booth Airflow Velocity Log &amp; VOC Emission Check</v>
      </c>
      <c r="F8" s="6" t="str" cm="1">
        <f t="array" ref="F8">_xlfn.IFS(TRIM(B8)="Sunshine Coast", "Maintain dust extraction air velocity above 20 m/s at all extraction hoods", TRIM(B8)="Moreton Bay", "Comply with AS/NZS 4114 for spray painting booths and maintain active charcoal filters", TRIM(B8)="Gold Coast", "Enclose high-noise machinery (CNC routers, planers) and monitor exhaust filter integrity daily", TRIM(B8)="Ipswich", "Clear sawdust silos before reaching 80% capacity and separate treated vs. untreated timber scraps", TRUE, "")</f>
        <v>Comply with AS/NZS 4114 for spray painting booths and maintain active charcoal filters</v>
      </c>
      <c r="G8" s="6" t="str" cm="1">
        <f t="array" ref="G8">_xlfn.IFS(TRIM(B8)="Sunshine Coast", "WorkSafe QLD Woodworking Code / MS Loop Furniture Folder", TRIM(B8)="Moreton Bay", "Environmental Protection Regulation 2019 (Surface Coating)", TRIM(B8)="Gold Coast", "City of Gold Coast Noise Management Guidelines", TRIM(B8)="Ipswich", "Ipswich City Council Waste Management Bylaws / Loop Master Register", TRUE, "")</f>
        <v>Environmental Protection Regulation 2019 (Surface Coating)</v>
      </c>
    </row>
    <row r="9" spans="1:9" ht="15" x14ac:dyDescent="0.3">
      <c r="A9" s="2" t="s">
        <v>47</v>
      </c>
      <c r="B9" s="5" t="s">
        <v>43</v>
      </c>
      <c r="C9" s="6" t="str" cm="1">
        <f t="array" ref="C9">_xlfn.IFS(TRIM(B9)="Sunshine Coast","Sunshine Coast Council",TRIM(B9)="Moreton Bay","City of Moreton Bay",TRIM(B9)="Gold Coast","City of Gold Coast",TRIM(B9)="Ipswich","Ipswich City Council",TRUE,"")</f>
        <v>Sunshine Coast Council</v>
      </c>
      <c r="D9" s="6" t="str" cm="1">
        <f t="array" ref="D9">_xlfn.IFS(TRIM(B9)="Sunshine Coast", "Combustible Dust Control &amp; Air Quality Risk", TRIM(B9)="Moreton Bay", "Surface Coating &amp; Hazardous Chemical Vapor Risk", TRIM(B9)="Gold Coast", "Industrial Noise &amp; Fine Particulate Matter Risk", TRIM(B9)="Ipswich", "Solid Timber Waste &amp; Stockpile Fire Risk", TRUE, "")</f>
        <v>Combustible Dust Control &amp; Air Quality Risk</v>
      </c>
      <c r="E9" s="6" t="str" cm="1">
        <f t="array" ref="E9">_xlfn.IFS(TRIM(B9)="Sunshine Coast", "LEV (Local Exhaust Ventilation) Particle Testing &amp; Pressure Drop Log", TRIM(B9)="Moreton Bay", "Spray Booth Airflow Velocity Log &amp; VOC Emission Check", TRIM(B9)="Gold Coast", "Boundary Acoustic dB Measurement &amp; Baghouse Filter Differential Pressure Audit", TRIM(B9)="Ipswich", "Timber Waste Skip Clearance Frequency &amp; Dust Extraction Silo Spark Detection Log", TRUE, "")</f>
        <v>LEV (Local Exhaust Ventilation) Particle Testing &amp; Pressure Drop Log</v>
      </c>
      <c r="F9" s="6" t="str" cm="1">
        <f t="array" ref="F9">_xlfn.IFS(TRIM(B9)="Sunshine Coast", "Maintain dust extraction air velocity above 20 m/s at all extraction hoods", TRIM(B9)="Moreton Bay", "Comply with AS/NZS 4114 for spray painting booths and maintain active charcoal filters", TRIM(B9)="Gold Coast", "Enclose high-noise machinery (CNC routers, planers) and monitor exhaust filter integrity daily", TRIM(B9)="Ipswich", "Clear sawdust silos before reaching 80% capacity and separate treated vs. untreated timber scraps", TRUE, "")</f>
        <v>Maintain dust extraction air velocity above 20 m/s at all extraction hoods</v>
      </c>
      <c r="G9" s="6" t="str" cm="1">
        <f t="array" ref="G9">_xlfn.IFS(TRIM(B9)="Sunshine Coast", "WorkSafe QLD Woodworking Code / MS Loop Furniture Folder", TRIM(B9)="Moreton Bay", "Environmental Protection Regulation 2019 (Surface Coating)", TRIM(B9)="Gold Coast", "City of Gold Coast Noise Management Guidelines", TRIM(B9)="Ipswich", "Ipswich City Council Waste Management Bylaws / Loop Master Register", TRUE, "")</f>
        <v>WorkSafe QLD Woodworking Code / MS Loop Furniture Folder</v>
      </c>
    </row>
    <row r="10" spans="1:9" ht="15" x14ac:dyDescent="0.3">
      <c r="A10" s="3" t="s">
        <v>5</v>
      </c>
      <c r="B10" s="6" t="s">
        <v>43</v>
      </c>
      <c r="C10" s="6" t="str" cm="1">
        <f t="array" ref="C10">_xlfn.IFS(TRIM(B10)="Sunshine Coast","Sunshine Coast Council",TRIM(B10)="Moreton Bay","City of Moreton Bay",TRIM(B10)="Gold Coast","City of Gold Coast",TRIM(B10)="Ipswich","Ipswich City Council",TRUE,"")</f>
        <v>Sunshine Coast Council</v>
      </c>
      <c r="D10" s="6" t="str" cm="1">
        <f t="array" ref="D10">_xlfn.IFS(TRIM(B10)="Sunshine Coast", "Combustible Dust Control &amp; Air Quality Risk", TRIM(B10)="Moreton Bay", "Surface Coating &amp; Hazardous Chemical Vapor Risk", TRIM(B10)="Gold Coast", "Industrial Noise &amp; Fine Particulate Matter Risk", TRIM(B10)="Ipswich", "Solid Timber Waste &amp; Stockpile Fire Risk", TRUE, "")</f>
        <v>Combustible Dust Control &amp; Air Quality Risk</v>
      </c>
      <c r="E10" s="6" t="str" cm="1">
        <f t="array" ref="E10">_xlfn.IFS(TRIM(B10)="Sunshine Coast", "LEV (Local Exhaust Ventilation) Particle Testing &amp; Pressure Drop Log", TRIM(B10)="Moreton Bay", "Spray Booth Airflow Velocity Log &amp; VOC Emission Check", TRIM(B10)="Gold Coast", "Boundary Acoustic dB Measurement &amp; Baghouse Filter Differential Pressure Audit", TRIM(B10)="Ipswich", "Timber Waste Skip Clearance Frequency &amp; Dust Extraction Silo Spark Detection Log", TRUE, "")</f>
        <v>LEV (Local Exhaust Ventilation) Particle Testing &amp; Pressure Drop Log</v>
      </c>
      <c r="F10" s="6" t="str" cm="1">
        <f t="array" ref="F10">_xlfn.IFS(TRIM(B10)="Sunshine Coast", "Maintain dust extraction air velocity above 20 m/s at all extraction hoods", TRIM(B10)="Moreton Bay", "Comply with AS/NZS 4114 for spray painting booths and maintain active charcoal filters", TRIM(B10)="Gold Coast", "Enclose high-noise machinery (CNC routers, planers) and monitor exhaust filter integrity daily", TRIM(B10)="Ipswich", "Clear sawdust silos before reaching 80% capacity and separate treated vs. untreated timber scraps", TRUE, "")</f>
        <v>Maintain dust extraction air velocity above 20 m/s at all extraction hoods</v>
      </c>
      <c r="G10" s="6" t="str" cm="1">
        <f t="array" ref="G10">_xlfn.IFS(TRIM(B10)="Sunshine Coast", "WorkSafe QLD Woodworking Code / MS Loop Furniture Folder", TRIM(B10)="Moreton Bay", "Environmental Protection Regulation 2019 (Surface Coating)", TRIM(B10)="Gold Coast", "City of Gold Coast Noise Management Guidelines", TRIM(B10)="Ipswich", "Ipswich City Council Waste Management Bylaws / Loop Master Register", TRUE, "")</f>
        <v>WorkSafe QLD Woodworking Code / MS Loop Furniture Folder</v>
      </c>
    </row>
    <row r="11" spans="1:9" ht="15" x14ac:dyDescent="0.3">
      <c r="A11" s="3" t="s">
        <v>1</v>
      </c>
      <c r="B11" s="6" t="s">
        <v>43</v>
      </c>
      <c r="C11" s="6" t="str" cm="1">
        <f t="array" ref="C11">_xlfn.IFS(TRIM(B11)="Sunshine Coast","Sunshine Coast Council",TRIM(B11)="Moreton Bay","City of Moreton Bay",TRIM(B11)="Gold Coast","City of Gold Coast",TRIM(B11)="Ipswich","Ipswich City Council",TRUE,"")</f>
        <v>Sunshine Coast Council</v>
      </c>
      <c r="D11" s="6" t="str" cm="1">
        <f t="array" ref="D11">_xlfn.IFS(TRIM(B11)="Sunshine Coast", "Combustible Dust Control &amp; Air Quality Risk", TRIM(B11)="Moreton Bay", "Surface Coating &amp; Hazardous Chemical Vapor Risk", TRIM(B11)="Gold Coast", "Industrial Noise &amp; Fine Particulate Matter Risk", TRIM(B11)="Ipswich", "Solid Timber Waste &amp; Stockpile Fire Risk", TRUE, "")</f>
        <v>Combustible Dust Control &amp; Air Quality Risk</v>
      </c>
      <c r="E11" s="6" t="str" cm="1">
        <f t="array" ref="E11">_xlfn.IFS(TRIM(B11)="Sunshine Coast", "LEV (Local Exhaust Ventilation) Particle Testing &amp; Pressure Drop Log", TRIM(B11)="Moreton Bay", "Spray Booth Airflow Velocity Log &amp; VOC Emission Check", TRIM(B11)="Gold Coast", "Boundary Acoustic dB Measurement &amp; Baghouse Filter Differential Pressure Audit", TRIM(B11)="Ipswich", "Timber Waste Skip Clearance Frequency &amp; Dust Extraction Silo Spark Detection Log", TRUE, "")</f>
        <v>LEV (Local Exhaust Ventilation) Particle Testing &amp; Pressure Drop Log</v>
      </c>
      <c r="F11" s="6" t="str" cm="1">
        <f t="array" ref="F11">_xlfn.IFS(TRIM(B11)="Sunshine Coast", "Maintain dust extraction air velocity above 20 m/s at all extraction hoods", TRIM(B11)="Moreton Bay", "Comply with AS/NZS 4114 for spray painting booths and maintain active charcoal filters", TRIM(B11)="Gold Coast", "Enclose high-noise machinery (CNC routers, planers) and monitor exhaust filter integrity daily", TRIM(B11)="Ipswich", "Clear sawdust silos before reaching 80% capacity and separate treated vs. untreated timber scraps", TRUE, "")</f>
        <v>Maintain dust extraction air velocity above 20 m/s at all extraction hoods</v>
      </c>
      <c r="G11" s="6" t="str" cm="1">
        <f t="array" ref="G11">_xlfn.IFS(TRIM(B11)="Sunshine Coast", "WorkSafe QLD Woodworking Code / MS Loop Furniture Folder", TRIM(B11)="Moreton Bay", "Environmental Protection Regulation 2019 (Surface Coating)", TRIM(B11)="Gold Coast", "City of Gold Coast Noise Management Guidelines", TRIM(B11)="Ipswich", "Ipswich City Council Waste Management Bylaws / Loop Master Register", TRUE, "")</f>
        <v>WorkSafe QLD Woodworking Code / MS Loop Furniture Folder</v>
      </c>
    </row>
    <row r="12" spans="1:9" ht="15.6" x14ac:dyDescent="0.3">
      <c r="A12" s="4" t="s">
        <v>21</v>
      </c>
      <c r="B12" s="6" t="s">
        <v>44</v>
      </c>
      <c r="C12" s="6" t="str" cm="1">
        <f t="array" ref="C12">_xlfn.IFS(TRIM(B12)="Sunshine Coast","Sunshine Coast Council",TRIM(B12)="Moreton Bay","City of Moreton Bay",TRIM(B12)="Gold Coast","City of Gold Coast",TRIM(B12)="Ipswich","Ipswich City Council",TRUE,"")</f>
        <v>City of Gold Coast</v>
      </c>
      <c r="D12" s="6" t="str" cm="1">
        <f t="array" ref="D12">_xlfn.IFS(TRIM(B12)="Sunshine Coast", "Combustible Dust Control &amp; Air Quality Risk", TRIM(B12)="Moreton Bay", "Surface Coating &amp; Hazardous Chemical Vapor Risk", TRIM(B12)="Gold Coast", "Industrial Noise &amp; Fine Particulate Matter Risk", TRIM(B12)="Ipswich", "Solid Timber Waste &amp; Stockpile Fire Risk", TRUE, "")</f>
        <v>Industrial Noise &amp; Fine Particulate Matter Risk</v>
      </c>
      <c r="E12" s="6" t="str" cm="1">
        <f t="array" ref="E12">_xlfn.IFS(TRIM(B12)="Sunshine Coast", "LEV (Local Exhaust Ventilation) Particle Testing &amp; Pressure Drop Log", TRIM(B12)="Moreton Bay", "Spray Booth Airflow Velocity Log &amp; VOC Emission Check", TRIM(B12)="Gold Coast", "Boundary Acoustic dB Measurement &amp; Baghouse Filter Differential Pressure Audit", TRIM(B12)="Ipswich", "Timber Waste Skip Clearance Frequency &amp; Dust Extraction Silo Spark Detection Log", TRUE, "")</f>
        <v>Boundary Acoustic dB Measurement &amp; Baghouse Filter Differential Pressure Audit</v>
      </c>
      <c r="F12" s="6" t="str" cm="1">
        <f t="array" ref="F12">_xlfn.IFS(TRIM(B12)="Sunshine Coast", "Maintain dust extraction air velocity above 20 m/s at all extraction hoods", TRIM(B12)="Moreton Bay", "Comply with AS/NZS 4114 for spray painting booths and maintain active charcoal filters", TRIM(B12)="Gold Coast", "Enclose high-noise machinery (CNC routers, planers) and monitor exhaust filter integrity daily", TRIM(B12)="Ipswich", "Clear sawdust silos before reaching 80% capacity and separate treated vs. untreated timber scraps", TRUE, "")</f>
        <v>Enclose high-noise machinery (CNC routers, planers) and monitor exhaust filter integrity daily</v>
      </c>
      <c r="G12" s="6" t="str" cm="1">
        <f t="array" ref="G12">_xlfn.IFS(TRIM(B12)="Sunshine Coast", "WorkSafe QLD Woodworking Code / MS Loop Furniture Folder", TRIM(B12)="Moreton Bay", "Environmental Protection Regulation 2019 (Surface Coating)", TRIM(B12)="Gold Coast", "City of Gold Coast Noise Management Guidelines", TRIM(B12)="Ipswich", "Ipswich City Council Waste Management Bylaws / Loop Master Register", TRUE, "")</f>
        <v>City of Gold Coast Noise Management Guidelines</v>
      </c>
    </row>
    <row r="13" spans="1:9" ht="15.6" x14ac:dyDescent="0.3">
      <c r="A13" s="4" t="s">
        <v>20</v>
      </c>
      <c r="B13" s="6" t="s">
        <v>44</v>
      </c>
      <c r="C13" s="6" t="str" cm="1">
        <f t="array" ref="C13">_xlfn.IFS(TRIM(B13)="Sunshine Coast","Sunshine Coast Council",TRIM(B13)="Moreton Bay","City of Moreton Bay",TRIM(B13)="Gold Coast","City of Gold Coast",TRIM(B13)="Ipswich","Ipswich City Council",TRUE,"")</f>
        <v>City of Gold Coast</v>
      </c>
      <c r="D13" s="6" t="str" cm="1">
        <f t="array" ref="D13">_xlfn.IFS(TRIM(B13)="Sunshine Coast", "Combustible Dust Control &amp; Air Quality Risk", TRIM(B13)="Moreton Bay", "Surface Coating &amp; Hazardous Chemical Vapor Risk", TRIM(B13)="Gold Coast", "Industrial Noise &amp; Fine Particulate Matter Risk", TRIM(B13)="Ipswich", "Solid Timber Waste &amp; Stockpile Fire Risk", TRUE, "")</f>
        <v>Industrial Noise &amp; Fine Particulate Matter Risk</v>
      </c>
      <c r="E13" s="6" t="str" cm="1">
        <f t="array" ref="E13">_xlfn.IFS(TRIM(B13)="Sunshine Coast", "LEV (Local Exhaust Ventilation) Particle Testing &amp; Pressure Drop Log", TRIM(B13)="Moreton Bay", "Spray Booth Airflow Velocity Log &amp; VOC Emission Check", TRIM(B13)="Gold Coast", "Boundary Acoustic dB Measurement &amp; Baghouse Filter Differential Pressure Audit", TRIM(B13)="Ipswich", "Timber Waste Skip Clearance Frequency &amp; Dust Extraction Silo Spark Detection Log", TRUE, "")</f>
        <v>Boundary Acoustic dB Measurement &amp; Baghouse Filter Differential Pressure Audit</v>
      </c>
      <c r="F13" s="6" t="str" cm="1">
        <f t="array" ref="F13">_xlfn.IFS(TRIM(B13)="Sunshine Coast", "Maintain dust extraction air velocity above 20 m/s at all extraction hoods", TRIM(B13)="Moreton Bay", "Comply with AS/NZS 4114 for spray painting booths and maintain active charcoal filters", TRIM(B13)="Gold Coast", "Enclose high-noise machinery (CNC routers, planers) and monitor exhaust filter integrity daily", TRIM(B13)="Ipswich", "Clear sawdust silos before reaching 80% capacity and separate treated vs. untreated timber scraps", TRUE, "")</f>
        <v>Enclose high-noise machinery (CNC routers, planers) and monitor exhaust filter integrity daily</v>
      </c>
      <c r="G13" s="6" t="str" cm="1">
        <f t="array" ref="G13">_xlfn.IFS(TRIM(B13)="Sunshine Coast", "WorkSafe QLD Woodworking Code / MS Loop Furniture Folder", TRIM(B13)="Moreton Bay", "Environmental Protection Regulation 2019 (Surface Coating)", TRIM(B13)="Gold Coast", "City of Gold Coast Noise Management Guidelines", TRIM(B13)="Ipswich", "Ipswich City Council Waste Management Bylaws / Loop Master Register", TRUE, "")</f>
        <v>City of Gold Coast Noise Management Guidelines</v>
      </c>
    </row>
    <row r="14" spans="1:9" ht="15.6" x14ac:dyDescent="0.3">
      <c r="A14" s="4" t="s">
        <v>46</v>
      </c>
      <c r="B14" s="6" t="s">
        <v>38</v>
      </c>
      <c r="C14" s="6" t="str" cm="1">
        <f t="array" ref="C14">_xlfn.IFS(TRIM(B14)="Sunshine Coast","Sunshine Coast Council",TRIM(B14)="Moreton Bay","City of Moreton Bay",TRIM(B14)="Gold Coast","City of Gold Coast",TRIM(B14)="Ipswich","Ipswich City Council",TRUE,"")</f>
        <v>Ipswich City Council</v>
      </c>
      <c r="D14" s="6" t="str" cm="1">
        <f t="array" ref="D14">_xlfn.IFS(TRIM(B14)="Sunshine Coast", "Combustible Dust Control &amp; Air Quality Risk", TRIM(B14)="Moreton Bay", "Surface Coating &amp; Hazardous Chemical Vapor Risk", TRIM(B14)="Gold Coast", "Industrial Noise &amp; Fine Particulate Matter Risk", TRIM(B14)="Ipswich", "Solid Timber Waste &amp; Stockpile Fire Risk", TRUE, "")</f>
        <v>Solid Timber Waste &amp; Stockpile Fire Risk</v>
      </c>
      <c r="E14" s="6" t="str" cm="1">
        <f t="array" ref="E14">_xlfn.IFS(TRIM(B14)="Sunshine Coast", "LEV (Local Exhaust Ventilation) Particle Testing &amp; Pressure Drop Log", TRIM(B14)="Moreton Bay", "Spray Booth Airflow Velocity Log &amp; VOC Emission Check", TRIM(B14)="Gold Coast", "Boundary Acoustic dB Measurement &amp; Baghouse Filter Differential Pressure Audit", TRIM(B14)="Ipswich", "Timber Waste Skip Clearance Frequency &amp; Dust Extraction Silo Spark Detection Log", TRUE, "")</f>
        <v>Timber Waste Skip Clearance Frequency &amp; Dust Extraction Silo Spark Detection Log</v>
      </c>
      <c r="F14" s="6" t="str" cm="1">
        <f t="array" ref="F14">_xlfn.IFS(TRIM(B14)="Sunshine Coast", "Maintain dust extraction air velocity above 20 m/s at all extraction hoods", TRIM(B14)="Moreton Bay", "Comply with AS/NZS 4114 for spray painting booths and maintain active charcoal filters", TRIM(B14)="Gold Coast", "Enclose high-noise machinery (CNC routers, planers) and monitor exhaust filter integrity daily", TRIM(B14)="Ipswich", "Clear sawdust silos before reaching 80% capacity and separate treated vs. untreated timber scraps", TRUE, "")</f>
        <v>Clear sawdust silos before reaching 80% capacity and separate treated vs. untreated timber scraps</v>
      </c>
      <c r="G14" s="6" t="str" cm="1">
        <f t="array" ref="G14">_xlfn.IFS(TRIM(B14)="Sunshine Coast", "WorkSafe QLD Woodworking Code / MS Loop Furniture Folder", TRIM(B14)="Moreton Bay", "Environmental Protection Regulation 2019 (Surface Coating)", TRIM(B14)="Gold Coast", "City of Gold Coast Noise Management Guidelines", TRIM(B14)="Ipswich", "Ipswich City Council Waste Management Bylaws / Loop Master Register", TRUE, "")</f>
        <v>Ipswich City Council Waste Management Bylaws / Loop Master Register</v>
      </c>
    </row>
    <row r="15" spans="1:9" ht="15.6" x14ac:dyDescent="0.3">
      <c r="A15" s="4" t="s">
        <v>30</v>
      </c>
      <c r="B15" s="6" t="s">
        <v>45</v>
      </c>
      <c r="C15" s="6" t="str" cm="1">
        <f t="array" ref="C15">_xlfn.IFS(TRIM(B15)="Sunshine Coast","Sunshine Coast Council",TRIM(B15)="Moreton Bay","City of Moreton Bay",TRIM(B15)="Gold Coast","City of Gold Coast",TRIM(B15)="Ipswich","Ipswich City Council",TRUE,"")</f>
        <v>City of Moreton Bay</v>
      </c>
      <c r="D15" s="6" t="str" cm="1">
        <f t="array" ref="D15">_xlfn.IFS(TRIM(B15)="Sunshine Coast", "Combustible Dust Control &amp; Air Quality Risk", TRIM(B15)="Moreton Bay", "Surface Coating &amp; Hazardous Chemical Vapor Risk", TRIM(B15)="Gold Coast", "Industrial Noise &amp; Fine Particulate Matter Risk", TRIM(B15)="Ipswich", "Solid Timber Waste &amp; Stockpile Fire Risk", TRUE, "")</f>
        <v>Surface Coating &amp; Hazardous Chemical Vapor Risk</v>
      </c>
      <c r="E15" s="6" t="str" cm="1">
        <f t="array" ref="E15">_xlfn.IFS(TRIM(B15)="Sunshine Coast", "LEV (Local Exhaust Ventilation) Particle Testing &amp; Pressure Drop Log", TRIM(B15)="Moreton Bay", "Spray Booth Airflow Velocity Log &amp; VOC Emission Check", TRIM(B15)="Gold Coast", "Boundary Acoustic dB Measurement &amp; Baghouse Filter Differential Pressure Audit", TRIM(B15)="Ipswich", "Timber Waste Skip Clearance Frequency &amp; Dust Extraction Silo Spark Detection Log", TRUE, "")</f>
        <v>Spray Booth Airflow Velocity Log &amp; VOC Emission Check</v>
      </c>
      <c r="F15" s="6" t="str" cm="1">
        <f t="array" ref="F15">_xlfn.IFS(TRIM(B15)="Sunshine Coast", "Maintain dust extraction air velocity above 20 m/s at all extraction hoods", TRIM(B15)="Moreton Bay", "Comply with AS/NZS 4114 for spray painting booths and maintain active charcoal filters", TRIM(B15)="Gold Coast", "Enclose high-noise machinery (CNC routers, planers) and monitor exhaust filter integrity daily", TRIM(B15)="Ipswich", "Clear sawdust silos before reaching 80% capacity and separate treated vs. untreated timber scraps", TRUE, "")</f>
        <v>Comply with AS/NZS 4114 for spray painting booths and maintain active charcoal filters</v>
      </c>
      <c r="G15" s="6" t="str" cm="1">
        <f t="array" ref="G15">_xlfn.IFS(TRIM(B15)="Sunshine Coast", "WorkSafe QLD Woodworking Code / MS Loop Furniture Folder", TRIM(B15)="Moreton Bay", "Environmental Protection Regulation 2019 (Surface Coating)", TRIM(B15)="Gold Coast", "City of Gold Coast Noise Management Guidelines", TRIM(B15)="Ipswich", "Ipswich City Council Waste Management Bylaws / Loop Master Register", TRUE, "")</f>
        <v>Environmental Protection Regulation 2019 (Surface Coating)</v>
      </c>
    </row>
    <row r="16" spans="1:9" ht="15.6" x14ac:dyDescent="0.3">
      <c r="A16" s="4" t="s">
        <v>25</v>
      </c>
      <c r="B16" s="6" t="s">
        <v>45</v>
      </c>
      <c r="C16" s="6" t="str" cm="1">
        <f t="array" ref="C16">_xlfn.IFS(TRIM(B16)="Sunshine Coast","Sunshine Coast Council",TRIM(B16)="Moreton Bay","City of Moreton Bay",TRIM(B16)="Gold Coast","City of Gold Coast",TRIM(B16)="Ipswich","Ipswich City Council",TRUE,"")</f>
        <v>City of Moreton Bay</v>
      </c>
      <c r="D16" s="6" t="str" cm="1">
        <f t="array" ref="D16">_xlfn.IFS(TRIM(B16)="Sunshine Coast", "Combustible Dust Control &amp; Air Quality Risk", TRIM(B16)="Moreton Bay", "Surface Coating &amp; Hazardous Chemical Vapor Risk", TRIM(B16)="Gold Coast", "Industrial Noise &amp; Fine Particulate Matter Risk", TRIM(B16)="Ipswich", "Solid Timber Waste &amp; Stockpile Fire Risk", TRUE, "")</f>
        <v>Surface Coating &amp; Hazardous Chemical Vapor Risk</v>
      </c>
      <c r="E16" s="6" t="str" cm="1">
        <f t="array" ref="E16">_xlfn.IFS(TRIM(B16)="Sunshine Coast", "LEV (Local Exhaust Ventilation) Particle Testing &amp; Pressure Drop Log", TRIM(B16)="Moreton Bay", "Spray Booth Airflow Velocity Log &amp; VOC Emission Check", TRIM(B16)="Gold Coast", "Boundary Acoustic dB Measurement &amp; Baghouse Filter Differential Pressure Audit", TRIM(B16)="Ipswich", "Timber Waste Skip Clearance Frequency &amp; Dust Extraction Silo Spark Detection Log", TRUE, "")</f>
        <v>Spray Booth Airflow Velocity Log &amp; VOC Emission Check</v>
      </c>
      <c r="F16" s="6" t="str" cm="1">
        <f t="array" ref="F16">_xlfn.IFS(TRIM(B16)="Sunshine Coast", "Maintain dust extraction air velocity above 20 m/s at all extraction hoods", TRIM(B16)="Moreton Bay", "Comply with AS/NZS 4114 for spray painting booths and maintain active charcoal filters", TRIM(B16)="Gold Coast", "Enclose high-noise machinery (CNC routers, planers) and monitor exhaust filter integrity daily", TRIM(B16)="Ipswich", "Clear sawdust silos before reaching 80% capacity and separate treated vs. untreated timber scraps", TRUE, "")</f>
        <v>Comply with AS/NZS 4114 for spray painting booths and maintain active charcoal filters</v>
      </c>
      <c r="G16" s="6" t="str" cm="1">
        <f t="array" ref="G16">_xlfn.IFS(TRIM(B16)="Sunshine Coast", "WorkSafe QLD Woodworking Code / MS Loop Furniture Folder", TRIM(B16)="Moreton Bay", "Environmental Protection Regulation 2019 (Surface Coating)", TRIM(B16)="Gold Coast", "City of Gold Coast Noise Management Guidelines", TRIM(B16)="Ipswich", "Ipswich City Council Waste Management Bylaws / Loop Master Register", TRUE, "")</f>
        <v>Environmental Protection Regulation 2019 (Surface Coating)</v>
      </c>
    </row>
    <row r="17" spans="1:7" ht="15" x14ac:dyDescent="0.3">
      <c r="A17" s="3" t="s">
        <v>3</v>
      </c>
      <c r="B17" s="6" t="s">
        <v>43</v>
      </c>
      <c r="C17" s="6" t="str" cm="1">
        <f t="array" ref="C17">_xlfn.IFS(TRIM(B17)="Sunshine Coast","Sunshine Coast Council",TRIM(B17)="Moreton Bay","City of Moreton Bay",TRIM(B17)="Gold Coast","City of Gold Coast",TRIM(B17)="Ipswich","Ipswich City Council",TRUE,"")</f>
        <v>Sunshine Coast Council</v>
      </c>
      <c r="D17" s="6" t="str" cm="1">
        <f t="array" ref="D17">_xlfn.IFS(TRIM(B17)="Sunshine Coast", "Combustible Dust Control &amp; Air Quality Risk", TRIM(B17)="Moreton Bay", "Surface Coating &amp; Hazardous Chemical Vapor Risk", TRIM(B17)="Gold Coast", "Industrial Noise &amp; Fine Particulate Matter Risk", TRIM(B17)="Ipswich", "Solid Timber Waste &amp; Stockpile Fire Risk", TRUE, "")</f>
        <v>Combustible Dust Control &amp; Air Quality Risk</v>
      </c>
      <c r="E17" s="6" t="str" cm="1">
        <f t="array" ref="E17">_xlfn.IFS(TRIM(B17)="Sunshine Coast", "LEV (Local Exhaust Ventilation) Particle Testing &amp; Pressure Drop Log", TRIM(B17)="Moreton Bay", "Spray Booth Airflow Velocity Log &amp; VOC Emission Check", TRIM(B17)="Gold Coast", "Boundary Acoustic dB Measurement &amp; Baghouse Filter Differential Pressure Audit", TRIM(B17)="Ipswich", "Timber Waste Skip Clearance Frequency &amp; Dust Extraction Silo Spark Detection Log", TRUE, "")</f>
        <v>LEV (Local Exhaust Ventilation) Particle Testing &amp; Pressure Drop Log</v>
      </c>
      <c r="F17" s="6" t="str" cm="1">
        <f t="array" ref="F17">_xlfn.IFS(TRIM(B17)="Sunshine Coast", "Maintain dust extraction air velocity above 20 m/s at all extraction hoods", TRIM(B17)="Moreton Bay", "Comply with AS/NZS 4114 for spray painting booths and maintain active charcoal filters", TRIM(B17)="Gold Coast", "Enclose high-noise machinery (CNC routers, planers) and monitor exhaust filter integrity daily", TRIM(B17)="Ipswich", "Clear sawdust silos before reaching 80% capacity and separate treated vs. untreated timber scraps", TRUE, "")</f>
        <v>Maintain dust extraction air velocity above 20 m/s at all extraction hoods</v>
      </c>
      <c r="G17" s="6" t="str" cm="1">
        <f t="array" ref="G17">_xlfn.IFS(TRIM(B17)="Sunshine Coast", "WorkSafe QLD Woodworking Code / MS Loop Furniture Folder", TRIM(B17)="Moreton Bay", "Environmental Protection Regulation 2019 (Surface Coating)", TRIM(B17)="Gold Coast", "City of Gold Coast Noise Management Guidelines", TRIM(B17)="Ipswich", "Ipswich City Council Waste Management Bylaws / Loop Master Register", TRUE, "")</f>
        <v>WorkSafe QLD Woodworking Code / MS Loop Furniture Folder</v>
      </c>
    </row>
    <row r="18" spans="1:7" ht="15.6" x14ac:dyDescent="0.3">
      <c r="A18" s="4" t="s">
        <v>27</v>
      </c>
      <c r="B18" s="6" t="s">
        <v>45</v>
      </c>
      <c r="C18" s="6" t="str" cm="1">
        <f t="array" ref="C18">_xlfn.IFS(TRIM(B18)="Sunshine Coast","Sunshine Coast Council",TRIM(B18)="Moreton Bay","City of Moreton Bay",TRIM(B18)="Gold Coast","City of Gold Coast",TRIM(B18)="Ipswich","Ipswich City Council",TRUE,"")</f>
        <v>City of Moreton Bay</v>
      </c>
      <c r="D18" s="6" t="str" cm="1">
        <f t="array" ref="D18">_xlfn.IFS(TRIM(B18)="Sunshine Coast", "Combustible Dust Control &amp; Air Quality Risk", TRIM(B18)="Moreton Bay", "Surface Coating &amp; Hazardous Chemical Vapor Risk", TRIM(B18)="Gold Coast", "Industrial Noise &amp; Fine Particulate Matter Risk", TRIM(B18)="Ipswich", "Solid Timber Waste &amp; Stockpile Fire Risk", TRUE, "")</f>
        <v>Surface Coating &amp; Hazardous Chemical Vapor Risk</v>
      </c>
      <c r="E18" s="6" t="str" cm="1">
        <f t="array" ref="E18">_xlfn.IFS(TRIM(B18)="Sunshine Coast", "LEV (Local Exhaust Ventilation) Particle Testing &amp; Pressure Drop Log", TRIM(B18)="Moreton Bay", "Spray Booth Airflow Velocity Log &amp; VOC Emission Check", TRIM(B18)="Gold Coast", "Boundary Acoustic dB Measurement &amp; Baghouse Filter Differential Pressure Audit", TRIM(B18)="Ipswich", "Timber Waste Skip Clearance Frequency &amp; Dust Extraction Silo Spark Detection Log", TRUE, "")</f>
        <v>Spray Booth Airflow Velocity Log &amp; VOC Emission Check</v>
      </c>
      <c r="F18" s="6" t="str" cm="1">
        <f t="array" ref="F18">_xlfn.IFS(TRIM(B18)="Sunshine Coast", "Maintain dust extraction air velocity above 20 m/s at all extraction hoods", TRIM(B18)="Moreton Bay", "Comply with AS/NZS 4114 for spray painting booths and maintain active charcoal filters", TRIM(B18)="Gold Coast", "Enclose high-noise machinery (CNC routers, planers) and monitor exhaust filter integrity daily", TRIM(B18)="Ipswich", "Clear sawdust silos before reaching 80% capacity and separate treated vs. untreated timber scraps", TRUE, "")</f>
        <v>Comply with AS/NZS 4114 for spray painting booths and maintain active charcoal filters</v>
      </c>
      <c r="G18" s="6" t="str" cm="1">
        <f t="array" ref="G18">_xlfn.IFS(TRIM(B18)="Sunshine Coast", "WorkSafe QLD Woodworking Code / MS Loop Furniture Folder", TRIM(B18)="Moreton Bay", "Environmental Protection Regulation 2019 (Surface Coating)", TRIM(B18)="Gold Coast", "City of Gold Coast Noise Management Guidelines", TRIM(B18)="Ipswich", "Ipswich City Council Waste Management Bylaws / Loop Master Register", TRUE, "")</f>
        <v>Environmental Protection Regulation 2019 (Surface Coating)</v>
      </c>
    </row>
    <row r="19" spans="1:7" ht="15.6" x14ac:dyDescent="0.3">
      <c r="A19" s="4" t="s">
        <v>28</v>
      </c>
      <c r="B19" s="6" t="s">
        <v>45</v>
      </c>
      <c r="C19" s="6" t="str" cm="1">
        <f t="array" ref="C19">_xlfn.IFS(TRIM(B19)="Sunshine Coast","Sunshine Coast Council",TRIM(B19)="Moreton Bay","City of Moreton Bay",TRIM(B19)="Gold Coast","City of Gold Coast",TRIM(B19)="Ipswich","Ipswich City Council",TRUE,"")</f>
        <v>City of Moreton Bay</v>
      </c>
      <c r="D19" s="6" t="str" cm="1">
        <f t="array" ref="D19">_xlfn.IFS(TRIM(B19)="Sunshine Coast", "Combustible Dust Control &amp; Air Quality Risk", TRIM(B19)="Moreton Bay", "Surface Coating &amp; Hazardous Chemical Vapor Risk", TRIM(B19)="Gold Coast", "Industrial Noise &amp; Fine Particulate Matter Risk", TRIM(B19)="Ipswich", "Solid Timber Waste &amp; Stockpile Fire Risk", TRUE, "")</f>
        <v>Surface Coating &amp; Hazardous Chemical Vapor Risk</v>
      </c>
      <c r="E19" s="6" t="str" cm="1">
        <f t="array" ref="E19">_xlfn.IFS(TRIM(B19)="Sunshine Coast", "LEV (Local Exhaust Ventilation) Particle Testing &amp; Pressure Drop Log", TRIM(B19)="Moreton Bay", "Spray Booth Airflow Velocity Log &amp; VOC Emission Check", TRIM(B19)="Gold Coast", "Boundary Acoustic dB Measurement &amp; Baghouse Filter Differential Pressure Audit", TRIM(B19)="Ipswich", "Timber Waste Skip Clearance Frequency &amp; Dust Extraction Silo Spark Detection Log", TRUE, "")</f>
        <v>Spray Booth Airflow Velocity Log &amp; VOC Emission Check</v>
      </c>
      <c r="F19" s="6" t="str" cm="1">
        <f t="array" ref="F19">_xlfn.IFS(TRIM(B19)="Sunshine Coast", "Maintain dust extraction air velocity above 20 m/s at all extraction hoods", TRIM(B19)="Moreton Bay", "Comply with AS/NZS 4114 for spray painting booths and maintain active charcoal filters", TRIM(B19)="Gold Coast", "Enclose high-noise machinery (CNC routers, planers) and monitor exhaust filter integrity daily", TRIM(B19)="Ipswich", "Clear sawdust silos before reaching 80% capacity and separate treated vs. untreated timber scraps", TRUE, "")</f>
        <v>Comply with AS/NZS 4114 for spray painting booths and maintain active charcoal filters</v>
      </c>
      <c r="G19" s="6" t="str" cm="1">
        <f t="array" ref="G19">_xlfn.IFS(TRIM(B19)="Sunshine Coast", "WorkSafe QLD Woodworking Code / MS Loop Furniture Folder", TRIM(B19)="Moreton Bay", "Environmental Protection Regulation 2019 (Surface Coating)", TRIM(B19)="Gold Coast", "City of Gold Coast Noise Management Guidelines", TRIM(B19)="Ipswich", "Ipswich City Council Waste Management Bylaws / Loop Master Register", TRUE, "")</f>
        <v>Environmental Protection Regulation 2019 (Surface Coating)</v>
      </c>
    </row>
    <row r="20" spans="1:7" ht="15" x14ac:dyDescent="0.3">
      <c r="A20" s="3" t="s">
        <v>4</v>
      </c>
      <c r="B20" s="6" t="s">
        <v>43</v>
      </c>
      <c r="C20" s="6" t="str" cm="1">
        <f t="array" ref="C20">_xlfn.IFS(TRIM(B20)="Sunshine Coast","Sunshine Coast Council",TRIM(B20)="Moreton Bay","City of Moreton Bay",TRIM(B20)="Gold Coast","City of Gold Coast",TRIM(B20)="Ipswich","Ipswich City Council",TRUE,"")</f>
        <v>Sunshine Coast Council</v>
      </c>
      <c r="D20" s="6" t="str" cm="1">
        <f t="array" ref="D20">_xlfn.IFS(TRIM(B20)="Sunshine Coast", "Combustible Dust Control &amp; Air Quality Risk", TRIM(B20)="Moreton Bay", "Surface Coating &amp; Hazardous Chemical Vapor Risk", TRIM(B20)="Gold Coast", "Industrial Noise &amp; Fine Particulate Matter Risk", TRIM(B20)="Ipswich", "Solid Timber Waste &amp; Stockpile Fire Risk", TRUE, "")</f>
        <v>Combustible Dust Control &amp; Air Quality Risk</v>
      </c>
      <c r="E20" s="6" t="str" cm="1">
        <f t="array" ref="E20">_xlfn.IFS(TRIM(B20)="Sunshine Coast", "LEV (Local Exhaust Ventilation) Particle Testing &amp; Pressure Drop Log", TRIM(B20)="Moreton Bay", "Spray Booth Airflow Velocity Log &amp; VOC Emission Check", TRIM(B20)="Gold Coast", "Boundary Acoustic dB Measurement &amp; Baghouse Filter Differential Pressure Audit", TRIM(B20)="Ipswich", "Timber Waste Skip Clearance Frequency &amp; Dust Extraction Silo Spark Detection Log", TRUE, "")</f>
        <v>LEV (Local Exhaust Ventilation) Particle Testing &amp; Pressure Drop Log</v>
      </c>
      <c r="F20" s="6" t="str" cm="1">
        <f t="array" ref="F20">_xlfn.IFS(TRIM(B20)="Sunshine Coast", "Maintain dust extraction air velocity above 20 m/s at all extraction hoods", TRIM(B20)="Moreton Bay", "Comply with AS/NZS 4114 for spray painting booths and maintain active charcoal filters", TRIM(B20)="Gold Coast", "Enclose high-noise machinery (CNC routers, planers) and monitor exhaust filter integrity daily", TRIM(B20)="Ipswich", "Clear sawdust silos before reaching 80% capacity and separate treated vs. untreated timber scraps", TRUE, "")</f>
        <v>Maintain dust extraction air velocity above 20 m/s at all extraction hoods</v>
      </c>
      <c r="G20" s="6" t="str" cm="1">
        <f t="array" ref="G20">_xlfn.IFS(TRIM(B20)="Sunshine Coast", "WorkSafe QLD Woodworking Code / MS Loop Furniture Folder", TRIM(B20)="Moreton Bay", "Environmental Protection Regulation 2019 (Surface Coating)", TRIM(B20)="Gold Coast", "City of Gold Coast Noise Management Guidelines", TRIM(B20)="Ipswich", "Ipswich City Council Waste Management Bylaws / Loop Master Register", TRUE, "")</f>
        <v>WorkSafe QLD Woodworking Code / MS Loop Furniture Folder</v>
      </c>
    </row>
    <row r="21" spans="1:7" ht="15.6" x14ac:dyDescent="0.3">
      <c r="A21" s="4" t="s">
        <v>33</v>
      </c>
      <c r="B21" s="6" t="s">
        <v>45</v>
      </c>
      <c r="C21" s="6" t="str" cm="1">
        <f t="array" ref="C21">_xlfn.IFS(TRIM(B21)="Sunshine Coast","Sunshine Coast Council",TRIM(B21)="Moreton Bay","City of Moreton Bay",TRIM(B21)="Gold Coast","City of Gold Coast",TRIM(B21)="Ipswich","Ipswich City Council",TRUE,"")</f>
        <v>City of Moreton Bay</v>
      </c>
      <c r="D21" s="6" t="str" cm="1">
        <f t="array" ref="D21">_xlfn.IFS(TRIM(B21)="Sunshine Coast", "Combustible Dust Control &amp; Air Quality Risk", TRIM(B21)="Moreton Bay", "Surface Coating &amp; Hazardous Chemical Vapor Risk", TRIM(B21)="Gold Coast", "Industrial Noise &amp; Fine Particulate Matter Risk", TRIM(B21)="Ipswich", "Solid Timber Waste &amp; Stockpile Fire Risk", TRUE, "")</f>
        <v>Surface Coating &amp; Hazardous Chemical Vapor Risk</v>
      </c>
      <c r="E21" s="6" t="str" cm="1">
        <f t="array" ref="E21">_xlfn.IFS(TRIM(B21)="Sunshine Coast", "LEV (Local Exhaust Ventilation) Particle Testing &amp; Pressure Drop Log", TRIM(B21)="Moreton Bay", "Spray Booth Airflow Velocity Log &amp; VOC Emission Check", TRIM(B21)="Gold Coast", "Boundary Acoustic dB Measurement &amp; Baghouse Filter Differential Pressure Audit", TRIM(B21)="Ipswich", "Timber Waste Skip Clearance Frequency &amp; Dust Extraction Silo Spark Detection Log", TRUE, "")</f>
        <v>Spray Booth Airflow Velocity Log &amp; VOC Emission Check</v>
      </c>
      <c r="F21" s="6" t="str" cm="1">
        <f t="array" ref="F21">_xlfn.IFS(TRIM(B21)="Sunshine Coast", "Maintain dust extraction air velocity above 20 m/s at all extraction hoods", TRIM(B21)="Moreton Bay", "Comply with AS/NZS 4114 for spray painting booths and maintain active charcoal filters", TRIM(B21)="Gold Coast", "Enclose high-noise machinery (CNC routers, planers) and monitor exhaust filter integrity daily", TRIM(B21)="Ipswich", "Clear sawdust silos before reaching 80% capacity and separate treated vs. untreated timber scraps", TRUE, "")</f>
        <v>Comply with AS/NZS 4114 for spray painting booths and maintain active charcoal filters</v>
      </c>
      <c r="G21" s="6" t="str" cm="1">
        <f t="array" ref="G21">_xlfn.IFS(TRIM(B21)="Sunshine Coast", "WorkSafe QLD Woodworking Code / MS Loop Furniture Folder", TRIM(B21)="Moreton Bay", "Environmental Protection Regulation 2019 (Surface Coating)", TRIM(B21)="Gold Coast", "City of Gold Coast Noise Management Guidelines", TRIM(B21)="Ipswich", "Ipswich City Council Waste Management Bylaws / Loop Master Register", TRUE, "")</f>
        <v>Environmental Protection Regulation 2019 (Surface Coating)</v>
      </c>
    </row>
    <row r="22" spans="1:7" ht="15.6" x14ac:dyDescent="0.3">
      <c r="A22" s="4" t="s">
        <v>29</v>
      </c>
      <c r="B22" s="6" t="s">
        <v>45</v>
      </c>
      <c r="C22" s="6" t="str" cm="1">
        <f t="array" ref="C22">_xlfn.IFS(TRIM(B22)="Sunshine Coast","Sunshine Coast Council",TRIM(B22)="Moreton Bay","City of Moreton Bay",TRIM(B22)="Gold Coast","City of Gold Coast",TRIM(B22)="Ipswich","Ipswich City Council",TRUE,"")</f>
        <v>City of Moreton Bay</v>
      </c>
      <c r="D22" s="6" t="str" cm="1">
        <f t="array" ref="D22">_xlfn.IFS(TRIM(B22)="Sunshine Coast", "Combustible Dust Control &amp; Air Quality Risk", TRIM(B22)="Moreton Bay", "Surface Coating &amp; Hazardous Chemical Vapor Risk", TRIM(B22)="Gold Coast", "Industrial Noise &amp; Fine Particulate Matter Risk", TRIM(B22)="Ipswich", "Solid Timber Waste &amp; Stockpile Fire Risk", TRUE, "")</f>
        <v>Surface Coating &amp; Hazardous Chemical Vapor Risk</v>
      </c>
      <c r="E22" s="6" t="str" cm="1">
        <f t="array" ref="E22">_xlfn.IFS(TRIM(B22)="Sunshine Coast", "LEV (Local Exhaust Ventilation) Particle Testing &amp; Pressure Drop Log", TRIM(B22)="Moreton Bay", "Spray Booth Airflow Velocity Log &amp; VOC Emission Check", TRIM(B22)="Gold Coast", "Boundary Acoustic dB Measurement &amp; Baghouse Filter Differential Pressure Audit", TRIM(B22)="Ipswich", "Timber Waste Skip Clearance Frequency &amp; Dust Extraction Silo Spark Detection Log", TRUE, "")</f>
        <v>Spray Booth Airflow Velocity Log &amp; VOC Emission Check</v>
      </c>
      <c r="F22" s="6" t="str" cm="1">
        <f t="array" ref="F22">_xlfn.IFS(TRIM(B22)="Sunshine Coast", "Maintain dust extraction air velocity above 20 m/s at all extraction hoods", TRIM(B22)="Moreton Bay", "Comply with AS/NZS 4114 for spray painting booths and maintain active charcoal filters", TRIM(B22)="Gold Coast", "Enclose high-noise machinery (CNC routers, planers) and monitor exhaust filter integrity daily", TRIM(B22)="Ipswich", "Clear sawdust silos before reaching 80% capacity and separate treated vs. untreated timber scraps", TRUE, "")</f>
        <v>Comply with AS/NZS 4114 for spray painting booths and maintain active charcoal filters</v>
      </c>
      <c r="G22" s="6" t="str" cm="1">
        <f t="array" ref="G22">_xlfn.IFS(TRIM(B22)="Sunshine Coast", "WorkSafe QLD Woodworking Code / MS Loop Furniture Folder", TRIM(B22)="Moreton Bay", "Environmental Protection Regulation 2019 (Surface Coating)", TRIM(B22)="Gold Coast", "City of Gold Coast Noise Management Guidelines", TRIM(B22)="Ipswich", "Ipswich City Council Waste Management Bylaws / Loop Master Register", TRUE, "")</f>
        <v>Environmental Protection Regulation 2019 (Surface Coating)</v>
      </c>
    </row>
    <row r="23" spans="1:7" ht="15" x14ac:dyDescent="0.3">
      <c r="A23" s="3" t="s">
        <v>8</v>
      </c>
      <c r="B23" s="6" t="s">
        <v>43</v>
      </c>
      <c r="C23" s="6" t="str" cm="1">
        <f t="array" ref="C23">_xlfn.IFS(TRIM(B23)="Sunshine Coast","Sunshine Coast Council",TRIM(B23)="Moreton Bay","City of Moreton Bay",TRIM(B23)="Gold Coast","City of Gold Coast",TRIM(B23)="Ipswich","Ipswich City Council",TRUE,"")</f>
        <v>Sunshine Coast Council</v>
      </c>
      <c r="D23" s="6" t="str" cm="1">
        <f t="array" ref="D23">_xlfn.IFS(TRIM(B23)="Sunshine Coast", "Combustible Dust Control &amp; Air Quality Risk", TRIM(B23)="Moreton Bay", "Surface Coating &amp; Hazardous Chemical Vapor Risk", TRIM(B23)="Gold Coast", "Industrial Noise &amp; Fine Particulate Matter Risk", TRIM(B23)="Ipswich", "Solid Timber Waste &amp; Stockpile Fire Risk", TRUE, "")</f>
        <v>Combustible Dust Control &amp; Air Quality Risk</v>
      </c>
      <c r="E23" s="6" t="str" cm="1">
        <f t="array" ref="E23">_xlfn.IFS(TRIM(B23)="Sunshine Coast", "LEV (Local Exhaust Ventilation) Particle Testing &amp; Pressure Drop Log", TRIM(B23)="Moreton Bay", "Spray Booth Airflow Velocity Log &amp; VOC Emission Check", TRIM(B23)="Gold Coast", "Boundary Acoustic dB Measurement &amp; Baghouse Filter Differential Pressure Audit", TRIM(B23)="Ipswich", "Timber Waste Skip Clearance Frequency &amp; Dust Extraction Silo Spark Detection Log", TRUE, "")</f>
        <v>LEV (Local Exhaust Ventilation) Particle Testing &amp; Pressure Drop Log</v>
      </c>
      <c r="F23" s="6" t="str" cm="1">
        <f t="array" ref="F23">_xlfn.IFS(TRIM(B23)="Sunshine Coast", "Maintain dust extraction air velocity above 20 m/s at all extraction hoods", TRIM(B23)="Moreton Bay", "Comply with AS/NZS 4114 for spray painting booths and maintain active charcoal filters", TRIM(B23)="Gold Coast", "Enclose high-noise machinery (CNC routers, planers) and monitor exhaust filter integrity daily", TRIM(B23)="Ipswich", "Clear sawdust silos before reaching 80% capacity and separate treated vs. untreated timber scraps", TRUE, "")</f>
        <v>Maintain dust extraction air velocity above 20 m/s at all extraction hoods</v>
      </c>
      <c r="G23" s="6" t="str" cm="1">
        <f t="array" ref="G23">_xlfn.IFS(TRIM(B23)="Sunshine Coast", "WorkSafe QLD Woodworking Code / MS Loop Furniture Folder", TRIM(B23)="Moreton Bay", "Environmental Protection Regulation 2019 (Surface Coating)", TRIM(B23)="Gold Coast", "City of Gold Coast Noise Management Guidelines", TRIM(B23)="Ipswich", "Ipswich City Council Waste Management Bylaws / Loop Master Register", TRUE, "")</f>
        <v>WorkSafe QLD Woodworking Code / MS Loop Furniture Folder</v>
      </c>
    </row>
    <row r="24" spans="1:7" ht="15.6" x14ac:dyDescent="0.3">
      <c r="A24" s="4" t="s">
        <v>35</v>
      </c>
      <c r="B24" s="6" t="s">
        <v>45</v>
      </c>
      <c r="C24" s="6" t="str" cm="1">
        <f t="array" ref="C24">_xlfn.IFS(TRIM(B24)="Sunshine Coast","Sunshine Coast Council",TRIM(B24)="Moreton Bay","City of Moreton Bay",TRIM(B24)="Gold Coast","City of Gold Coast",TRIM(B24)="Ipswich","Ipswich City Council",TRUE,"")</f>
        <v>City of Moreton Bay</v>
      </c>
      <c r="D24" s="6" t="str" cm="1">
        <f t="array" ref="D24">_xlfn.IFS(TRIM(B24)="Sunshine Coast", "Combustible Dust Control &amp; Air Quality Risk", TRIM(B24)="Moreton Bay", "Surface Coating &amp; Hazardous Chemical Vapor Risk", TRIM(B24)="Gold Coast", "Industrial Noise &amp; Fine Particulate Matter Risk", TRIM(B24)="Ipswich", "Solid Timber Waste &amp; Stockpile Fire Risk", TRUE, "")</f>
        <v>Surface Coating &amp; Hazardous Chemical Vapor Risk</v>
      </c>
      <c r="E24" s="6" t="str" cm="1">
        <f t="array" ref="E24">_xlfn.IFS(TRIM(B24)="Sunshine Coast", "LEV (Local Exhaust Ventilation) Particle Testing &amp; Pressure Drop Log", TRIM(B24)="Moreton Bay", "Spray Booth Airflow Velocity Log &amp; VOC Emission Check", TRIM(B24)="Gold Coast", "Boundary Acoustic dB Measurement &amp; Baghouse Filter Differential Pressure Audit", TRIM(B24)="Ipswich", "Timber Waste Skip Clearance Frequency &amp; Dust Extraction Silo Spark Detection Log", TRUE, "")</f>
        <v>Spray Booth Airflow Velocity Log &amp; VOC Emission Check</v>
      </c>
      <c r="F24" s="6" t="str" cm="1">
        <f t="array" ref="F24">_xlfn.IFS(TRIM(B24)="Sunshine Coast", "Maintain dust extraction air velocity above 20 m/s at all extraction hoods", TRIM(B24)="Moreton Bay", "Comply with AS/NZS 4114 for spray painting booths and maintain active charcoal filters", TRIM(B24)="Gold Coast", "Enclose high-noise machinery (CNC routers, planers) and monitor exhaust filter integrity daily", TRIM(B24)="Ipswich", "Clear sawdust silos before reaching 80% capacity and separate treated vs. untreated timber scraps", TRUE, "")</f>
        <v>Comply with AS/NZS 4114 for spray painting booths and maintain active charcoal filters</v>
      </c>
      <c r="G24" s="6" t="str" cm="1">
        <f t="array" ref="G24">_xlfn.IFS(TRIM(B24)="Sunshine Coast", "WorkSafe QLD Woodworking Code / MS Loop Furniture Folder", TRIM(B24)="Moreton Bay", "Environmental Protection Regulation 2019 (Surface Coating)", TRIM(B24)="Gold Coast", "City of Gold Coast Noise Management Guidelines", TRIM(B24)="Ipswich", "Ipswich City Council Waste Management Bylaws / Loop Master Register", TRUE, "")</f>
        <v>Environmental Protection Regulation 2019 (Surface Coating)</v>
      </c>
    </row>
    <row r="25" spans="1:7" ht="15.6" x14ac:dyDescent="0.3">
      <c r="A25" s="4" t="s">
        <v>22</v>
      </c>
      <c r="B25" s="6" t="s">
        <v>44</v>
      </c>
      <c r="C25" s="6" t="str" cm="1">
        <f t="array" ref="C25">_xlfn.IFS(TRIM(B25)="Sunshine Coast","Sunshine Coast Council",TRIM(B25)="Moreton Bay","City of Moreton Bay",TRIM(B25)="Gold Coast","City of Gold Coast",TRIM(B25)="Ipswich","Ipswich City Council",TRUE,"")</f>
        <v>City of Gold Coast</v>
      </c>
      <c r="D25" s="6" t="str" cm="1">
        <f t="array" ref="D25">_xlfn.IFS(TRIM(B25)="Sunshine Coast", "Combustible Dust Control &amp; Air Quality Risk", TRIM(B25)="Moreton Bay", "Surface Coating &amp; Hazardous Chemical Vapor Risk", TRIM(B25)="Gold Coast", "Industrial Noise &amp; Fine Particulate Matter Risk", TRIM(B25)="Ipswich", "Solid Timber Waste &amp; Stockpile Fire Risk", TRUE, "")</f>
        <v>Industrial Noise &amp; Fine Particulate Matter Risk</v>
      </c>
      <c r="E25" s="6" t="str" cm="1">
        <f t="array" ref="E25">_xlfn.IFS(TRIM(B25)="Sunshine Coast", "LEV (Local Exhaust Ventilation) Particle Testing &amp; Pressure Drop Log", TRIM(B25)="Moreton Bay", "Spray Booth Airflow Velocity Log &amp; VOC Emission Check", TRIM(B25)="Gold Coast", "Boundary Acoustic dB Measurement &amp; Baghouse Filter Differential Pressure Audit", TRIM(B25)="Ipswich", "Timber Waste Skip Clearance Frequency &amp; Dust Extraction Silo Spark Detection Log", TRUE, "")</f>
        <v>Boundary Acoustic dB Measurement &amp; Baghouse Filter Differential Pressure Audit</v>
      </c>
      <c r="F25" s="6" t="str" cm="1">
        <f t="array" ref="F25">_xlfn.IFS(TRIM(B25)="Sunshine Coast", "Maintain dust extraction air velocity above 20 m/s at all extraction hoods", TRIM(B25)="Moreton Bay", "Comply with AS/NZS 4114 for spray painting booths and maintain active charcoal filters", TRIM(B25)="Gold Coast", "Enclose high-noise machinery (CNC routers, planers) and monitor exhaust filter integrity daily", TRIM(B25)="Ipswich", "Clear sawdust silos before reaching 80% capacity and separate treated vs. untreated timber scraps", TRUE, "")</f>
        <v>Enclose high-noise machinery (CNC routers, planers) and monitor exhaust filter integrity daily</v>
      </c>
      <c r="G25" s="6" t="str" cm="1">
        <f t="array" ref="G25">_xlfn.IFS(TRIM(B25)="Sunshine Coast", "WorkSafe QLD Woodworking Code / MS Loop Furniture Folder", TRIM(B25)="Moreton Bay", "Environmental Protection Regulation 2019 (Surface Coating)", TRIM(B25)="Gold Coast", "City of Gold Coast Noise Management Guidelines", TRIM(B25)="Ipswich", "Ipswich City Council Waste Management Bylaws / Loop Master Register", TRUE, "")</f>
        <v>City of Gold Coast Noise Management Guidelines</v>
      </c>
    </row>
    <row r="26" spans="1:7" ht="15.6" x14ac:dyDescent="0.3">
      <c r="A26" s="4" t="s">
        <v>17</v>
      </c>
      <c r="B26" s="6" t="s">
        <v>44</v>
      </c>
      <c r="C26" s="6" t="str" cm="1">
        <f t="array" ref="C26">_xlfn.IFS(TRIM(B26)="Sunshine Coast","Sunshine Coast Council",TRIM(B26)="Moreton Bay","City of Moreton Bay",TRIM(B26)="Gold Coast","City of Gold Coast",TRIM(B26)="Ipswich","Ipswich City Council",TRUE,"")</f>
        <v>City of Gold Coast</v>
      </c>
      <c r="D26" s="6" t="str" cm="1">
        <f t="array" ref="D26">_xlfn.IFS(TRIM(B26)="Sunshine Coast", "Combustible Dust Control &amp; Air Quality Risk", TRIM(B26)="Moreton Bay", "Surface Coating &amp; Hazardous Chemical Vapor Risk", TRIM(B26)="Gold Coast", "Industrial Noise &amp; Fine Particulate Matter Risk", TRIM(B26)="Ipswich", "Solid Timber Waste &amp; Stockpile Fire Risk", TRUE, "")</f>
        <v>Industrial Noise &amp; Fine Particulate Matter Risk</v>
      </c>
      <c r="E26" s="6" t="str" cm="1">
        <f t="array" ref="E26">_xlfn.IFS(TRIM(B26)="Sunshine Coast", "LEV (Local Exhaust Ventilation) Particle Testing &amp; Pressure Drop Log", TRIM(B26)="Moreton Bay", "Spray Booth Airflow Velocity Log &amp; VOC Emission Check", TRIM(B26)="Gold Coast", "Boundary Acoustic dB Measurement &amp; Baghouse Filter Differential Pressure Audit", TRIM(B26)="Ipswich", "Timber Waste Skip Clearance Frequency &amp; Dust Extraction Silo Spark Detection Log", TRUE, "")</f>
        <v>Boundary Acoustic dB Measurement &amp; Baghouse Filter Differential Pressure Audit</v>
      </c>
      <c r="F26" s="6" t="str" cm="1">
        <f t="array" ref="F26">_xlfn.IFS(TRIM(B26)="Sunshine Coast", "Maintain dust extraction air velocity above 20 m/s at all extraction hoods", TRIM(B26)="Moreton Bay", "Comply with AS/NZS 4114 for spray painting booths and maintain active charcoal filters", TRIM(B26)="Gold Coast", "Enclose high-noise machinery (CNC routers, planers) and monitor exhaust filter integrity daily", TRIM(B26)="Ipswich", "Clear sawdust silos before reaching 80% capacity and separate treated vs. untreated timber scraps", TRUE, "")</f>
        <v>Enclose high-noise machinery (CNC routers, planers) and monitor exhaust filter integrity daily</v>
      </c>
      <c r="G26" s="6" t="str" cm="1">
        <f t="array" ref="G26">_xlfn.IFS(TRIM(B26)="Sunshine Coast", "WorkSafe QLD Woodworking Code / MS Loop Furniture Folder", TRIM(B26)="Moreton Bay", "Environmental Protection Regulation 2019 (Surface Coating)", TRIM(B26)="Gold Coast", "City of Gold Coast Noise Management Guidelines", TRIM(B26)="Ipswich", "Ipswich City Council Waste Management Bylaws / Loop Master Register", TRUE, "")</f>
        <v>City of Gold Coast Noise Management Guidelines</v>
      </c>
    </row>
    <row r="27" spans="1:7" ht="15" x14ac:dyDescent="0.3">
      <c r="A27" s="3" t="s">
        <v>6</v>
      </c>
      <c r="B27" s="6" t="s">
        <v>43</v>
      </c>
      <c r="C27" s="6" t="str" cm="1">
        <f t="array" ref="C27">_xlfn.IFS(TRIM(B27)="Sunshine Coast","Sunshine Coast Council",TRIM(B27)="Moreton Bay","City of Moreton Bay",TRIM(B27)="Gold Coast","City of Gold Coast",TRIM(B27)="Ipswich","Ipswich City Council",TRUE,"")</f>
        <v>Sunshine Coast Council</v>
      </c>
      <c r="D27" s="6" t="str" cm="1">
        <f t="array" ref="D27">_xlfn.IFS(TRIM(B27)="Sunshine Coast", "Combustible Dust Control &amp; Air Quality Risk", TRIM(B27)="Moreton Bay", "Surface Coating &amp; Hazardous Chemical Vapor Risk", TRIM(B27)="Gold Coast", "Industrial Noise &amp; Fine Particulate Matter Risk", TRIM(B27)="Ipswich", "Solid Timber Waste &amp; Stockpile Fire Risk", TRUE, "")</f>
        <v>Combustible Dust Control &amp; Air Quality Risk</v>
      </c>
      <c r="E27" s="6" t="str" cm="1">
        <f t="array" ref="E27">_xlfn.IFS(TRIM(B27)="Sunshine Coast", "LEV (Local Exhaust Ventilation) Particle Testing &amp; Pressure Drop Log", TRIM(B27)="Moreton Bay", "Spray Booth Airflow Velocity Log &amp; VOC Emission Check", TRIM(B27)="Gold Coast", "Boundary Acoustic dB Measurement &amp; Baghouse Filter Differential Pressure Audit", TRIM(B27)="Ipswich", "Timber Waste Skip Clearance Frequency &amp; Dust Extraction Silo Spark Detection Log", TRUE, "")</f>
        <v>LEV (Local Exhaust Ventilation) Particle Testing &amp; Pressure Drop Log</v>
      </c>
      <c r="F27" s="6" t="str" cm="1">
        <f t="array" ref="F27">_xlfn.IFS(TRIM(B27)="Sunshine Coast", "Maintain dust extraction air velocity above 20 m/s at all extraction hoods", TRIM(B27)="Moreton Bay", "Comply with AS/NZS 4114 for spray painting booths and maintain active charcoal filters", TRIM(B27)="Gold Coast", "Enclose high-noise machinery (CNC routers, planers) and monitor exhaust filter integrity daily", TRIM(B27)="Ipswich", "Clear sawdust silos before reaching 80% capacity and separate treated vs. untreated timber scraps", TRUE, "")</f>
        <v>Maintain dust extraction air velocity above 20 m/s at all extraction hoods</v>
      </c>
      <c r="G27" s="6" t="str" cm="1">
        <f t="array" ref="G27">_xlfn.IFS(TRIM(B27)="Sunshine Coast", "WorkSafe QLD Woodworking Code / MS Loop Furniture Folder", TRIM(B27)="Moreton Bay", "Environmental Protection Regulation 2019 (Surface Coating)", TRIM(B27)="Gold Coast", "City of Gold Coast Noise Management Guidelines", TRIM(B27)="Ipswich", "Ipswich City Council Waste Management Bylaws / Loop Master Register", TRUE, "")</f>
        <v>WorkSafe QLD Woodworking Code / MS Loop Furniture Folder</v>
      </c>
    </row>
    <row r="28" spans="1:7" ht="15.6" x14ac:dyDescent="0.3">
      <c r="A28" s="4" t="s">
        <v>31</v>
      </c>
      <c r="B28" s="6" t="s">
        <v>45</v>
      </c>
      <c r="C28" s="6" t="str" cm="1">
        <f t="array" ref="C28">_xlfn.IFS(TRIM(B28)="Sunshine Coast","Sunshine Coast Council",TRIM(B28)="Moreton Bay","City of Moreton Bay",TRIM(B28)="Gold Coast","City of Gold Coast",TRIM(B28)="Ipswich","Ipswich City Council",TRUE,"")</f>
        <v>City of Moreton Bay</v>
      </c>
      <c r="D28" s="6" t="str" cm="1">
        <f t="array" ref="D28">_xlfn.IFS(TRIM(B28)="Sunshine Coast", "Combustible Dust Control &amp; Air Quality Risk", TRIM(B28)="Moreton Bay", "Surface Coating &amp; Hazardous Chemical Vapor Risk", TRIM(B28)="Gold Coast", "Industrial Noise &amp; Fine Particulate Matter Risk", TRIM(B28)="Ipswich", "Solid Timber Waste &amp; Stockpile Fire Risk", TRUE, "")</f>
        <v>Surface Coating &amp; Hazardous Chemical Vapor Risk</v>
      </c>
      <c r="E28" s="6" t="str" cm="1">
        <f t="array" ref="E28">_xlfn.IFS(TRIM(B28)="Sunshine Coast", "LEV (Local Exhaust Ventilation) Particle Testing &amp; Pressure Drop Log", TRIM(B28)="Moreton Bay", "Spray Booth Airflow Velocity Log &amp; VOC Emission Check", TRIM(B28)="Gold Coast", "Boundary Acoustic dB Measurement &amp; Baghouse Filter Differential Pressure Audit", TRIM(B28)="Ipswich", "Timber Waste Skip Clearance Frequency &amp; Dust Extraction Silo Spark Detection Log", TRUE, "")</f>
        <v>Spray Booth Airflow Velocity Log &amp; VOC Emission Check</v>
      </c>
      <c r="F28" s="6" t="str" cm="1">
        <f t="array" ref="F28">_xlfn.IFS(TRIM(B28)="Sunshine Coast", "Maintain dust extraction air velocity above 20 m/s at all extraction hoods", TRIM(B28)="Moreton Bay", "Comply with AS/NZS 4114 for spray painting booths and maintain active charcoal filters", TRIM(B28)="Gold Coast", "Enclose high-noise machinery (CNC routers, planers) and monitor exhaust filter integrity daily", TRIM(B28)="Ipswich", "Clear sawdust silos before reaching 80% capacity and separate treated vs. untreated timber scraps", TRUE, "")</f>
        <v>Comply with AS/NZS 4114 for spray painting booths and maintain active charcoal filters</v>
      </c>
      <c r="G28" s="6" t="str" cm="1">
        <f t="array" ref="G28">_xlfn.IFS(TRIM(B28)="Sunshine Coast", "WorkSafe QLD Woodworking Code / MS Loop Furniture Folder", TRIM(B28)="Moreton Bay", "Environmental Protection Regulation 2019 (Surface Coating)", TRIM(B28)="Gold Coast", "City of Gold Coast Noise Management Guidelines", TRIM(B28)="Ipswich", "Ipswich City Council Waste Management Bylaws / Loop Master Register", TRUE, "")</f>
        <v>Environmental Protection Regulation 2019 (Surface Coating)</v>
      </c>
    </row>
    <row r="29" spans="1:7" ht="15.6" x14ac:dyDescent="0.3">
      <c r="A29" s="4" t="s">
        <v>18</v>
      </c>
      <c r="B29" s="6" t="s">
        <v>44</v>
      </c>
      <c r="C29" s="6" t="str" cm="1">
        <f t="array" ref="C29">_xlfn.IFS(TRIM(B29)="Sunshine Coast","Sunshine Coast Council",TRIM(B29)="Moreton Bay","City of Moreton Bay",TRIM(B29)="Gold Coast","City of Gold Coast",TRIM(B29)="Ipswich","Ipswich City Council",TRUE,"")</f>
        <v>City of Gold Coast</v>
      </c>
      <c r="D29" s="6" t="str" cm="1">
        <f t="array" ref="D29">_xlfn.IFS(TRIM(B29)="Sunshine Coast", "Combustible Dust Control &amp; Air Quality Risk", TRIM(B29)="Moreton Bay", "Surface Coating &amp; Hazardous Chemical Vapor Risk", TRIM(B29)="Gold Coast", "Industrial Noise &amp; Fine Particulate Matter Risk", TRIM(B29)="Ipswich", "Solid Timber Waste &amp; Stockpile Fire Risk", TRUE, "")</f>
        <v>Industrial Noise &amp; Fine Particulate Matter Risk</v>
      </c>
      <c r="E29" s="6" t="str" cm="1">
        <f t="array" ref="E29">_xlfn.IFS(TRIM(B29)="Sunshine Coast", "LEV (Local Exhaust Ventilation) Particle Testing &amp; Pressure Drop Log", TRIM(B29)="Moreton Bay", "Spray Booth Airflow Velocity Log &amp; VOC Emission Check", TRIM(B29)="Gold Coast", "Boundary Acoustic dB Measurement &amp; Baghouse Filter Differential Pressure Audit", TRIM(B29)="Ipswich", "Timber Waste Skip Clearance Frequency &amp; Dust Extraction Silo Spark Detection Log", TRUE, "")</f>
        <v>Boundary Acoustic dB Measurement &amp; Baghouse Filter Differential Pressure Audit</v>
      </c>
      <c r="F29" s="6" t="str" cm="1">
        <f t="array" ref="F29">_xlfn.IFS(TRIM(B29)="Sunshine Coast", "Maintain dust extraction air velocity above 20 m/s at all extraction hoods", TRIM(B29)="Moreton Bay", "Comply with AS/NZS 4114 for spray painting booths and maintain active charcoal filters", TRIM(B29)="Gold Coast", "Enclose high-noise machinery (CNC routers, planers) and monitor exhaust filter integrity daily", TRIM(B29)="Ipswich", "Clear sawdust silos before reaching 80% capacity and separate treated vs. untreated timber scraps", TRUE, "")</f>
        <v>Enclose high-noise machinery (CNC routers, planers) and monitor exhaust filter integrity daily</v>
      </c>
      <c r="G29" s="6" t="str" cm="1">
        <f t="array" ref="G29">_xlfn.IFS(TRIM(B29)="Sunshine Coast", "WorkSafe QLD Woodworking Code / MS Loop Furniture Folder", TRIM(B29)="Moreton Bay", "Environmental Protection Regulation 2019 (Surface Coating)", TRIM(B29)="Gold Coast", "City of Gold Coast Noise Management Guidelines", TRIM(B29)="Ipswich", "Ipswich City Council Waste Management Bylaws / Loop Master Register", TRUE, "")</f>
        <v>City of Gold Coast Noise Management Guidelines</v>
      </c>
    </row>
    <row r="30" spans="1:7" ht="15.6" x14ac:dyDescent="0.3">
      <c r="A30" s="4" t="s">
        <v>37</v>
      </c>
      <c r="B30" s="6" t="s">
        <v>38</v>
      </c>
      <c r="C30" s="6" t="str" cm="1">
        <f t="array" ref="C30">_xlfn.IFS(TRIM(B30)="Sunshine Coast","Sunshine Coast Council",TRIM(B30)="Moreton Bay","City of Moreton Bay",TRIM(B30)="Gold Coast","City of Gold Coast",TRIM(B30)="Ipswich","Ipswich City Council",TRUE,"")</f>
        <v>Ipswich City Council</v>
      </c>
      <c r="D30" s="6" t="str" cm="1">
        <f t="array" ref="D30">_xlfn.IFS(TRIM(B30)="Sunshine Coast", "Combustible Dust Control &amp; Air Quality Risk", TRIM(B30)="Moreton Bay", "Surface Coating &amp; Hazardous Chemical Vapor Risk", TRIM(B30)="Gold Coast", "Industrial Noise &amp; Fine Particulate Matter Risk", TRIM(B30)="Ipswich", "Solid Timber Waste &amp; Stockpile Fire Risk", TRUE, "")</f>
        <v>Solid Timber Waste &amp; Stockpile Fire Risk</v>
      </c>
      <c r="E30" s="6" t="str" cm="1">
        <f t="array" ref="E30">_xlfn.IFS(TRIM(B30)="Sunshine Coast", "LEV (Local Exhaust Ventilation) Particle Testing &amp; Pressure Drop Log", TRIM(B30)="Moreton Bay", "Spray Booth Airflow Velocity Log &amp; VOC Emission Check", TRIM(B30)="Gold Coast", "Boundary Acoustic dB Measurement &amp; Baghouse Filter Differential Pressure Audit", TRIM(B30)="Ipswich", "Timber Waste Skip Clearance Frequency &amp; Dust Extraction Silo Spark Detection Log", TRUE, "")</f>
        <v>Timber Waste Skip Clearance Frequency &amp; Dust Extraction Silo Spark Detection Log</v>
      </c>
      <c r="F30" s="6" t="str" cm="1">
        <f t="array" ref="F30">_xlfn.IFS(TRIM(B30)="Sunshine Coast", "Maintain dust extraction air velocity above 20 m/s at all extraction hoods", TRIM(B30)="Moreton Bay", "Comply with AS/NZS 4114 for spray painting booths and maintain active charcoal filters", TRIM(B30)="Gold Coast", "Enclose high-noise machinery (CNC routers, planers) and monitor exhaust filter integrity daily", TRIM(B30)="Ipswich", "Clear sawdust silos before reaching 80% capacity and separate treated vs. untreated timber scraps", TRUE, "")</f>
        <v>Clear sawdust silos before reaching 80% capacity and separate treated vs. untreated timber scraps</v>
      </c>
      <c r="G30" s="6" t="str" cm="1">
        <f t="array" ref="G30">_xlfn.IFS(TRIM(B30)="Sunshine Coast", "WorkSafe QLD Woodworking Code / MS Loop Furniture Folder", TRIM(B30)="Moreton Bay", "Environmental Protection Regulation 2019 (Surface Coating)", TRIM(B30)="Gold Coast", "City of Gold Coast Noise Management Guidelines", TRIM(B30)="Ipswich", "Ipswich City Council Waste Management Bylaws / Loop Master Register", TRUE, "")</f>
        <v>Ipswich City Council Waste Management Bylaws / Loop Master Register</v>
      </c>
    </row>
    <row r="31" spans="1:7" ht="15.6" x14ac:dyDescent="0.3">
      <c r="A31" s="4" t="s">
        <v>23</v>
      </c>
      <c r="B31" s="6" t="s">
        <v>44</v>
      </c>
      <c r="C31" s="6" t="str" cm="1">
        <f t="array" ref="C31">_xlfn.IFS(TRIM(B31)="Sunshine Coast","Sunshine Coast Council",TRIM(B31)="Moreton Bay","City of Moreton Bay",TRIM(B31)="Gold Coast","City of Gold Coast",TRIM(B31)="Ipswich","Ipswich City Council",TRUE,"")</f>
        <v>City of Gold Coast</v>
      </c>
      <c r="D31" s="6" t="str" cm="1">
        <f t="array" ref="D31">_xlfn.IFS(TRIM(B31)="Sunshine Coast", "Combustible Dust Control &amp; Air Quality Risk", TRIM(B31)="Moreton Bay", "Surface Coating &amp; Hazardous Chemical Vapor Risk", TRIM(B31)="Gold Coast", "Industrial Noise &amp; Fine Particulate Matter Risk", TRIM(B31)="Ipswich", "Solid Timber Waste &amp; Stockpile Fire Risk", TRUE, "")</f>
        <v>Industrial Noise &amp; Fine Particulate Matter Risk</v>
      </c>
      <c r="E31" s="6" t="str" cm="1">
        <f t="array" ref="E31">_xlfn.IFS(TRIM(B31)="Sunshine Coast", "LEV (Local Exhaust Ventilation) Particle Testing &amp; Pressure Drop Log", TRIM(B31)="Moreton Bay", "Spray Booth Airflow Velocity Log &amp; VOC Emission Check", TRIM(B31)="Gold Coast", "Boundary Acoustic dB Measurement &amp; Baghouse Filter Differential Pressure Audit", TRIM(B31)="Ipswich", "Timber Waste Skip Clearance Frequency &amp; Dust Extraction Silo Spark Detection Log", TRUE, "")</f>
        <v>Boundary Acoustic dB Measurement &amp; Baghouse Filter Differential Pressure Audit</v>
      </c>
      <c r="F31" s="6" t="str" cm="1">
        <f t="array" ref="F31">_xlfn.IFS(TRIM(B31)="Sunshine Coast", "Maintain dust extraction air velocity above 20 m/s at all extraction hoods", TRIM(B31)="Moreton Bay", "Comply with AS/NZS 4114 for spray painting booths and maintain active charcoal filters", TRIM(B31)="Gold Coast", "Enclose high-noise machinery (CNC routers, planers) and monitor exhaust filter integrity daily", TRIM(B31)="Ipswich", "Clear sawdust silos before reaching 80% capacity and separate treated vs. untreated timber scraps", TRUE, "")</f>
        <v>Enclose high-noise machinery (CNC routers, planers) and monitor exhaust filter integrity daily</v>
      </c>
      <c r="G31" s="6" t="str" cm="1">
        <f t="array" ref="G31">_xlfn.IFS(TRIM(B31)="Sunshine Coast", "WorkSafe QLD Woodworking Code / MS Loop Furniture Folder", TRIM(B31)="Moreton Bay", "Environmental Protection Regulation 2019 (Surface Coating)", TRIM(B31)="Gold Coast", "City of Gold Coast Noise Management Guidelines", TRIM(B31)="Ipswich", "Ipswich City Council Waste Management Bylaws / Loop Master Register", TRUE, "")</f>
        <v>City of Gold Coast Noise Management Guidelines</v>
      </c>
    </row>
    <row r="32" spans="1:7" ht="15.6" x14ac:dyDescent="0.3">
      <c r="A32" s="4" t="s">
        <v>39</v>
      </c>
      <c r="B32" s="6" t="s">
        <v>38</v>
      </c>
      <c r="C32" s="6" t="str" cm="1">
        <f t="array" ref="C32">_xlfn.IFS(TRIM(B32)="Sunshine Coast","Sunshine Coast Council",TRIM(B32)="Moreton Bay","City of Moreton Bay",TRIM(B32)="Gold Coast","City of Gold Coast",TRIM(B32)="Ipswich","Ipswich City Council",TRUE,"")</f>
        <v>Ipswich City Council</v>
      </c>
      <c r="D32" s="6" t="str" cm="1">
        <f t="array" ref="D32">_xlfn.IFS(TRIM(B32)="Sunshine Coast", "Combustible Dust Control &amp; Air Quality Risk", TRIM(B32)="Moreton Bay", "Surface Coating &amp; Hazardous Chemical Vapor Risk", TRIM(B32)="Gold Coast", "Industrial Noise &amp; Fine Particulate Matter Risk", TRIM(B32)="Ipswich", "Solid Timber Waste &amp; Stockpile Fire Risk", TRUE, "")</f>
        <v>Solid Timber Waste &amp; Stockpile Fire Risk</v>
      </c>
      <c r="E32" s="6" t="str" cm="1">
        <f t="array" ref="E32">_xlfn.IFS(TRIM(B32)="Sunshine Coast", "LEV (Local Exhaust Ventilation) Particle Testing &amp; Pressure Drop Log", TRIM(B32)="Moreton Bay", "Spray Booth Airflow Velocity Log &amp; VOC Emission Check", TRIM(B32)="Gold Coast", "Boundary Acoustic dB Measurement &amp; Baghouse Filter Differential Pressure Audit", TRIM(B32)="Ipswich", "Timber Waste Skip Clearance Frequency &amp; Dust Extraction Silo Spark Detection Log", TRUE, "")</f>
        <v>Timber Waste Skip Clearance Frequency &amp; Dust Extraction Silo Spark Detection Log</v>
      </c>
      <c r="F32" s="6" t="str" cm="1">
        <f t="array" ref="F32">_xlfn.IFS(TRIM(B32)="Sunshine Coast", "Maintain dust extraction air velocity above 20 m/s at all extraction hoods", TRIM(B32)="Moreton Bay", "Comply with AS/NZS 4114 for spray painting booths and maintain active charcoal filters", TRIM(B32)="Gold Coast", "Enclose high-noise machinery (CNC routers, planers) and monitor exhaust filter integrity daily", TRIM(B32)="Ipswich", "Clear sawdust silos before reaching 80% capacity and separate treated vs. untreated timber scraps", TRUE, "")</f>
        <v>Clear sawdust silos before reaching 80% capacity and separate treated vs. untreated timber scraps</v>
      </c>
      <c r="G32" s="6" t="str" cm="1">
        <f t="array" ref="G32">_xlfn.IFS(TRIM(B32)="Sunshine Coast", "WorkSafe QLD Woodworking Code / MS Loop Furniture Folder", TRIM(B32)="Moreton Bay", "Environmental Protection Regulation 2019 (Surface Coating)", TRIM(B32)="Gold Coast", "City of Gold Coast Noise Management Guidelines", TRIM(B32)="Ipswich", "Ipswich City Council Waste Management Bylaws / Loop Master Register", TRUE, "")</f>
        <v>Ipswich City Council Waste Management Bylaws / Loop Master Register</v>
      </c>
    </row>
    <row r="33" spans="1:7" ht="15.6" x14ac:dyDescent="0.3">
      <c r="A33" s="4" t="s">
        <v>26</v>
      </c>
      <c r="B33" s="6" t="s">
        <v>45</v>
      </c>
      <c r="C33" s="6" t="str" cm="1">
        <f t="array" ref="C33">_xlfn.IFS(TRIM(B33)="Sunshine Coast","Sunshine Coast Council",TRIM(B33)="Moreton Bay","City of Moreton Bay",TRIM(B33)="Gold Coast","City of Gold Coast",TRIM(B33)="Ipswich","Ipswich City Council",TRUE,"")</f>
        <v>City of Moreton Bay</v>
      </c>
      <c r="D33" s="6" t="str" cm="1">
        <f t="array" ref="D33">_xlfn.IFS(TRIM(B33)="Sunshine Coast", "Combustible Dust Control &amp; Air Quality Risk", TRIM(B33)="Moreton Bay", "Surface Coating &amp; Hazardous Chemical Vapor Risk", TRIM(B33)="Gold Coast", "Industrial Noise &amp; Fine Particulate Matter Risk", TRIM(B33)="Ipswich", "Solid Timber Waste &amp; Stockpile Fire Risk", TRUE, "")</f>
        <v>Surface Coating &amp; Hazardous Chemical Vapor Risk</v>
      </c>
      <c r="E33" s="6" t="str" cm="1">
        <f t="array" ref="E33">_xlfn.IFS(TRIM(B33)="Sunshine Coast", "LEV (Local Exhaust Ventilation) Particle Testing &amp; Pressure Drop Log", TRIM(B33)="Moreton Bay", "Spray Booth Airflow Velocity Log &amp; VOC Emission Check", TRIM(B33)="Gold Coast", "Boundary Acoustic dB Measurement &amp; Baghouse Filter Differential Pressure Audit", TRIM(B33)="Ipswich", "Timber Waste Skip Clearance Frequency &amp; Dust Extraction Silo Spark Detection Log", TRUE, "")</f>
        <v>Spray Booth Airflow Velocity Log &amp; VOC Emission Check</v>
      </c>
      <c r="F33" s="6" t="str" cm="1">
        <f t="array" ref="F33">_xlfn.IFS(TRIM(B33)="Sunshine Coast", "Maintain dust extraction air velocity above 20 m/s at all extraction hoods", TRIM(B33)="Moreton Bay", "Comply with AS/NZS 4114 for spray painting booths and maintain active charcoal filters", TRIM(B33)="Gold Coast", "Enclose high-noise machinery (CNC routers, planers) and monitor exhaust filter integrity daily", TRIM(B33)="Ipswich", "Clear sawdust silos before reaching 80% capacity and separate treated vs. untreated timber scraps", TRUE, "")</f>
        <v>Comply with AS/NZS 4114 for spray painting booths and maintain active charcoal filters</v>
      </c>
      <c r="G33" s="6" t="str" cm="1">
        <f t="array" ref="G33">_xlfn.IFS(TRIM(B33)="Sunshine Coast", "WorkSafe QLD Woodworking Code / MS Loop Furniture Folder", TRIM(B33)="Moreton Bay", "Environmental Protection Regulation 2019 (Surface Coating)", TRIM(B33)="Gold Coast", "City of Gold Coast Noise Management Guidelines", TRIM(B33)="Ipswich", "Ipswich City Council Waste Management Bylaws / Loop Master Register", TRUE, "")</f>
        <v>Environmental Protection Regulation 2019 (Surface Coating)</v>
      </c>
    </row>
    <row r="34" spans="1:7" ht="15.6" x14ac:dyDescent="0.3">
      <c r="A34" s="4" t="s">
        <v>41</v>
      </c>
      <c r="B34" s="6" t="s">
        <v>38</v>
      </c>
      <c r="C34" s="6" t="str" cm="1">
        <f t="array" ref="C34">_xlfn.IFS(TRIM(B34)="Sunshine Coast","Sunshine Coast Council",TRIM(B34)="Moreton Bay","City of Moreton Bay",TRIM(B34)="Gold Coast","City of Gold Coast",TRIM(B34)="Ipswich","Ipswich City Council",TRUE,"")</f>
        <v>Ipswich City Council</v>
      </c>
      <c r="D34" s="6" t="str" cm="1">
        <f t="array" ref="D34">_xlfn.IFS(TRIM(B34)="Sunshine Coast", "Combustible Dust Control &amp; Air Quality Risk", TRIM(B34)="Moreton Bay", "Surface Coating &amp; Hazardous Chemical Vapor Risk", TRIM(B34)="Gold Coast", "Industrial Noise &amp; Fine Particulate Matter Risk", TRIM(B34)="Ipswich", "Solid Timber Waste &amp; Stockpile Fire Risk", TRUE, "")</f>
        <v>Solid Timber Waste &amp; Stockpile Fire Risk</v>
      </c>
      <c r="E34" s="6" t="str" cm="1">
        <f t="array" ref="E34">_xlfn.IFS(TRIM(B34)="Sunshine Coast", "LEV (Local Exhaust Ventilation) Particle Testing &amp; Pressure Drop Log", TRIM(B34)="Moreton Bay", "Spray Booth Airflow Velocity Log &amp; VOC Emission Check", TRIM(B34)="Gold Coast", "Boundary Acoustic dB Measurement &amp; Baghouse Filter Differential Pressure Audit", TRIM(B34)="Ipswich", "Timber Waste Skip Clearance Frequency &amp; Dust Extraction Silo Spark Detection Log", TRUE, "")</f>
        <v>Timber Waste Skip Clearance Frequency &amp; Dust Extraction Silo Spark Detection Log</v>
      </c>
      <c r="F34" s="6" t="str" cm="1">
        <f t="array" ref="F34">_xlfn.IFS(TRIM(B34)="Sunshine Coast", "Maintain dust extraction air velocity above 20 m/s at all extraction hoods", TRIM(B34)="Moreton Bay", "Comply with AS/NZS 4114 for spray painting booths and maintain active charcoal filters", TRIM(B34)="Gold Coast", "Enclose high-noise machinery (CNC routers, planers) and monitor exhaust filter integrity daily", TRIM(B34)="Ipswich", "Clear sawdust silos before reaching 80% capacity and separate treated vs. untreated timber scraps", TRUE, "")</f>
        <v>Clear sawdust silos before reaching 80% capacity and separate treated vs. untreated timber scraps</v>
      </c>
      <c r="G34" s="6" t="str" cm="1">
        <f t="array" ref="G34">_xlfn.IFS(TRIM(B34)="Sunshine Coast", "WorkSafe QLD Woodworking Code / MS Loop Furniture Folder", TRIM(B34)="Moreton Bay", "Environmental Protection Regulation 2019 (Surface Coating)", TRIM(B34)="Gold Coast", "City of Gold Coast Noise Management Guidelines", TRIM(B34)="Ipswich", "Ipswich City Council Waste Management Bylaws / Loop Master Register", TRUE, "")</f>
        <v>Ipswich City Council Waste Management Bylaws / Loop Master Register</v>
      </c>
    </row>
    <row r="35" spans="1:7" ht="15.6" x14ac:dyDescent="0.3">
      <c r="A35" s="4" t="s">
        <v>42</v>
      </c>
      <c r="B35" s="6" t="s">
        <v>38</v>
      </c>
      <c r="C35" s="6" t="str" cm="1">
        <f t="array" ref="C35">_xlfn.IFS(TRIM(B35)="Sunshine Coast","Sunshine Coast Council",TRIM(B35)="Moreton Bay","City of Moreton Bay",TRIM(B35)="Gold Coast","City of Gold Coast",TRIM(B35)="Ipswich","Ipswich City Council",TRUE,"")</f>
        <v>Ipswich City Council</v>
      </c>
      <c r="D35" s="6" t="str" cm="1">
        <f t="array" ref="D35">_xlfn.IFS(TRIM(B35)="Sunshine Coast", "Combustible Dust Control &amp; Air Quality Risk", TRIM(B35)="Moreton Bay", "Surface Coating &amp; Hazardous Chemical Vapor Risk", TRIM(B35)="Gold Coast", "Industrial Noise &amp; Fine Particulate Matter Risk", TRIM(B35)="Ipswich", "Solid Timber Waste &amp; Stockpile Fire Risk", TRUE, "")</f>
        <v>Solid Timber Waste &amp; Stockpile Fire Risk</v>
      </c>
      <c r="E35" s="6" t="str" cm="1">
        <f t="array" ref="E35">_xlfn.IFS(TRIM(B35)="Sunshine Coast", "LEV (Local Exhaust Ventilation) Particle Testing &amp; Pressure Drop Log", TRIM(B35)="Moreton Bay", "Spray Booth Airflow Velocity Log &amp; VOC Emission Check", TRIM(B35)="Gold Coast", "Boundary Acoustic dB Measurement &amp; Baghouse Filter Differential Pressure Audit", TRIM(B35)="Ipswich", "Timber Waste Skip Clearance Frequency &amp; Dust Extraction Silo Spark Detection Log", TRUE, "")</f>
        <v>Timber Waste Skip Clearance Frequency &amp; Dust Extraction Silo Spark Detection Log</v>
      </c>
      <c r="F35" s="6" t="str" cm="1">
        <f t="array" ref="F35">_xlfn.IFS(TRIM(B35)="Sunshine Coast", "Maintain dust extraction air velocity above 20 m/s at all extraction hoods", TRIM(B35)="Moreton Bay", "Comply with AS/NZS 4114 for spray painting booths and maintain active charcoal filters", TRIM(B35)="Gold Coast", "Enclose high-noise machinery (CNC routers, planers) and monitor exhaust filter integrity daily", TRIM(B35)="Ipswich", "Clear sawdust silos before reaching 80% capacity and separate treated vs. untreated timber scraps", TRUE, "")</f>
        <v>Clear sawdust silos before reaching 80% capacity and separate treated vs. untreated timber scraps</v>
      </c>
      <c r="G35" s="6" t="str" cm="1">
        <f t="array" ref="G35">_xlfn.IFS(TRIM(B35)="Sunshine Coast", "WorkSafe QLD Woodworking Code / MS Loop Furniture Folder", TRIM(B35)="Moreton Bay", "Environmental Protection Regulation 2019 (Surface Coating)", TRIM(B35)="Gold Coast", "City of Gold Coast Noise Management Guidelines", TRIM(B35)="Ipswich", "Ipswich City Council Waste Management Bylaws / Loop Master Register", TRUE, "")</f>
        <v>Ipswich City Council Waste Management Bylaws / Loop Master Register</v>
      </c>
    </row>
    <row r="36" spans="1:7" ht="15.6" x14ac:dyDescent="0.3">
      <c r="A36" s="4" t="s">
        <v>24</v>
      </c>
      <c r="B36" s="6" t="s">
        <v>44</v>
      </c>
      <c r="C36" s="6" t="str" cm="1">
        <f t="array" ref="C36">_xlfn.IFS(TRIM(B36)="Sunshine Coast","Sunshine Coast Council",TRIM(B36)="Moreton Bay","City of Moreton Bay",TRIM(B36)="Gold Coast","City of Gold Coast",TRIM(B36)="Ipswich","Ipswich City Council",TRUE,"")</f>
        <v>City of Gold Coast</v>
      </c>
      <c r="D36" s="6" t="str" cm="1">
        <f t="array" ref="D36">_xlfn.IFS(TRIM(B36)="Sunshine Coast", "Combustible Dust Control &amp; Air Quality Risk", TRIM(B36)="Moreton Bay", "Surface Coating &amp; Hazardous Chemical Vapor Risk", TRIM(B36)="Gold Coast", "Industrial Noise &amp; Fine Particulate Matter Risk", TRIM(B36)="Ipswich", "Solid Timber Waste &amp; Stockpile Fire Risk", TRUE, "")</f>
        <v>Industrial Noise &amp; Fine Particulate Matter Risk</v>
      </c>
      <c r="E36" s="6" t="str" cm="1">
        <f t="array" ref="E36">_xlfn.IFS(TRIM(B36)="Sunshine Coast", "LEV (Local Exhaust Ventilation) Particle Testing &amp; Pressure Drop Log", TRIM(B36)="Moreton Bay", "Spray Booth Airflow Velocity Log &amp; VOC Emission Check", TRIM(B36)="Gold Coast", "Boundary Acoustic dB Measurement &amp; Baghouse Filter Differential Pressure Audit", TRIM(B36)="Ipswich", "Timber Waste Skip Clearance Frequency &amp; Dust Extraction Silo Spark Detection Log", TRUE, "")</f>
        <v>Boundary Acoustic dB Measurement &amp; Baghouse Filter Differential Pressure Audit</v>
      </c>
      <c r="F36" s="6" t="str" cm="1">
        <f t="array" ref="F36">_xlfn.IFS(TRIM(B36)="Sunshine Coast", "Maintain dust extraction air velocity above 20 m/s at all extraction hoods", TRIM(B36)="Moreton Bay", "Comply with AS/NZS 4114 for spray painting booths and maintain active charcoal filters", TRIM(B36)="Gold Coast", "Enclose high-noise machinery (CNC routers, planers) and monitor exhaust filter integrity daily", TRIM(B36)="Ipswich", "Clear sawdust silos before reaching 80% capacity and separate treated vs. untreated timber scraps", TRUE, "")</f>
        <v>Enclose high-noise machinery (CNC routers, planers) and monitor exhaust filter integrity daily</v>
      </c>
      <c r="G36" s="6" t="str" cm="1">
        <f t="array" ref="G36">_xlfn.IFS(TRIM(B36)="Sunshine Coast", "WorkSafe QLD Woodworking Code / MS Loop Furniture Folder", TRIM(B36)="Moreton Bay", "Environmental Protection Regulation 2019 (Surface Coating)", TRIM(B36)="Gold Coast", "City of Gold Coast Noise Management Guidelines", TRIM(B36)="Ipswich", "Ipswich City Council Waste Management Bylaws / Loop Master Register", TRUE, "")</f>
        <v>City of Gold Coast Noise Management Guidelines</v>
      </c>
    </row>
    <row r="37" spans="1:7" ht="15.6" x14ac:dyDescent="0.3">
      <c r="A37" s="4" t="s">
        <v>40</v>
      </c>
      <c r="B37" s="6" t="s">
        <v>38</v>
      </c>
      <c r="C37" s="6" t="str" cm="1">
        <f t="array" ref="C37">_xlfn.IFS(TRIM(B37)="Sunshine Coast","Sunshine Coast Council",TRIM(B37)="Moreton Bay","City of Moreton Bay",TRIM(B37)="Gold Coast","City of Gold Coast",TRIM(B37)="Ipswich","Ipswich City Council",TRUE,"")</f>
        <v>Ipswich City Council</v>
      </c>
      <c r="D37" s="6" t="str" cm="1">
        <f t="array" ref="D37">_xlfn.IFS(TRIM(B37)="Sunshine Coast", "Combustible Dust Control &amp; Air Quality Risk", TRIM(B37)="Moreton Bay", "Surface Coating &amp; Hazardous Chemical Vapor Risk", TRIM(B37)="Gold Coast", "Industrial Noise &amp; Fine Particulate Matter Risk", TRIM(B37)="Ipswich", "Solid Timber Waste &amp; Stockpile Fire Risk", TRUE, "")</f>
        <v>Solid Timber Waste &amp; Stockpile Fire Risk</v>
      </c>
      <c r="E37" s="6" t="str" cm="1">
        <f t="array" ref="E37">_xlfn.IFS(TRIM(B37)="Sunshine Coast", "LEV (Local Exhaust Ventilation) Particle Testing &amp; Pressure Drop Log", TRIM(B37)="Moreton Bay", "Spray Booth Airflow Velocity Log &amp; VOC Emission Check", TRIM(B37)="Gold Coast", "Boundary Acoustic dB Measurement &amp; Baghouse Filter Differential Pressure Audit", TRIM(B37)="Ipswich", "Timber Waste Skip Clearance Frequency &amp; Dust Extraction Silo Spark Detection Log", TRUE, "")</f>
        <v>Timber Waste Skip Clearance Frequency &amp; Dust Extraction Silo Spark Detection Log</v>
      </c>
      <c r="F37" s="6" t="str" cm="1">
        <f t="array" ref="F37">_xlfn.IFS(TRIM(B37)="Sunshine Coast", "Maintain dust extraction air velocity above 20 m/s at all extraction hoods", TRIM(B37)="Moreton Bay", "Comply with AS/NZS 4114 for spray painting booths and maintain active charcoal filters", TRIM(B37)="Gold Coast", "Enclose high-noise machinery (CNC routers, planers) and monitor exhaust filter integrity daily", TRIM(B37)="Ipswich", "Clear sawdust silos before reaching 80% capacity and separate treated vs. untreated timber scraps", TRUE, "")</f>
        <v>Clear sawdust silos before reaching 80% capacity and separate treated vs. untreated timber scraps</v>
      </c>
      <c r="G37" s="6" t="str" cm="1">
        <f t="array" ref="G37">_xlfn.IFS(TRIM(B37)="Sunshine Coast", "WorkSafe QLD Woodworking Code / MS Loop Furniture Folder", TRIM(B37)="Moreton Bay", "Environmental Protection Regulation 2019 (Surface Coating)", TRIM(B37)="Gold Coast", "City of Gold Coast Noise Management Guidelines", TRIM(B37)="Ipswich", "Ipswich City Council Waste Management Bylaws / Loop Master Register", TRUE, "")</f>
        <v>Ipswich City Council Waste Management Bylaws / Loop Master Register</v>
      </c>
    </row>
    <row r="38" spans="1:7" ht="15" x14ac:dyDescent="0.3">
      <c r="A38" s="3" t="s">
        <v>7</v>
      </c>
      <c r="B38" s="6" t="s">
        <v>43</v>
      </c>
      <c r="C38" s="6" t="str" cm="1">
        <f t="array" ref="C38">_xlfn.IFS(TRIM(B38)="Sunshine Coast","Sunshine Coast Council",TRIM(B38)="Moreton Bay","City of Moreton Bay",TRIM(B38)="Gold Coast","City of Gold Coast",TRIM(B38)="Ipswich","Ipswich City Council",TRUE,"")</f>
        <v>Sunshine Coast Council</v>
      </c>
      <c r="D38" s="6" t="str" cm="1">
        <f t="array" ref="D38">_xlfn.IFS(TRIM(B38)="Sunshine Coast", "Combustible Dust Control &amp; Air Quality Risk", TRIM(B38)="Moreton Bay", "Surface Coating &amp; Hazardous Chemical Vapor Risk", TRIM(B38)="Gold Coast", "Industrial Noise &amp; Fine Particulate Matter Risk", TRIM(B38)="Ipswich", "Solid Timber Waste &amp; Stockpile Fire Risk", TRUE, "")</f>
        <v>Combustible Dust Control &amp; Air Quality Risk</v>
      </c>
      <c r="E38" s="6" t="str" cm="1">
        <f t="array" ref="E38">_xlfn.IFS(TRIM(B38)="Sunshine Coast", "LEV (Local Exhaust Ventilation) Particle Testing &amp; Pressure Drop Log", TRIM(B38)="Moreton Bay", "Spray Booth Airflow Velocity Log &amp; VOC Emission Check", TRIM(B38)="Gold Coast", "Boundary Acoustic dB Measurement &amp; Baghouse Filter Differential Pressure Audit", TRIM(B38)="Ipswich", "Timber Waste Skip Clearance Frequency &amp; Dust Extraction Silo Spark Detection Log", TRUE, "")</f>
        <v>LEV (Local Exhaust Ventilation) Particle Testing &amp; Pressure Drop Log</v>
      </c>
      <c r="F38" s="6" t="str" cm="1">
        <f t="array" ref="F38">_xlfn.IFS(TRIM(B38)="Sunshine Coast", "Maintain dust extraction air velocity above 20 m/s at all extraction hoods", TRIM(B38)="Moreton Bay", "Comply with AS/NZS 4114 for spray painting booths and maintain active charcoal filters", TRIM(B38)="Gold Coast", "Enclose high-noise machinery (CNC routers, planers) and monitor exhaust filter integrity daily", TRIM(B38)="Ipswich", "Clear sawdust silos before reaching 80% capacity and separate treated vs. untreated timber scraps", TRUE, "")</f>
        <v>Maintain dust extraction air velocity above 20 m/s at all extraction hoods</v>
      </c>
      <c r="G38" s="6" t="str" cm="1">
        <f t="array" ref="G38">_xlfn.IFS(TRIM(B38)="Sunshine Coast", "WorkSafe QLD Woodworking Code / MS Loop Furniture Folder", TRIM(B38)="Moreton Bay", "Environmental Protection Regulation 2019 (Surface Coating)", TRIM(B38)="Gold Coast", "City of Gold Coast Noise Management Guidelines", TRIM(B38)="Ipswich", "Ipswich City Council Waste Management Bylaws / Loop Master Register", TRUE, "")</f>
        <v>WorkSafe QLD Woodworking Code / MS Loop Furniture Folder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994E-FC7F-450C-A3F0-437FDFE5DBBE}">
  <dimension ref="A1:I38"/>
  <sheetViews>
    <sheetView workbookViewId="0">
      <selection activeCell="D2" sqref="D2"/>
    </sheetView>
  </sheetViews>
  <sheetFormatPr defaultRowHeight="14.4" x14ac:dyDescent="0.3"/>
  <cols>
    <col min="1" max="1" width="24.33203125" bestFit="1" customWidth="1"/>
    <col min="2" max="2" width="21.5546875" customWidth="1"/>
    <col min="3" max="3" width="25.77734375" customWidth="1"/>
    <col min="4" max="4" width="50.33203125" bestFit="1" customWidth="1"/>
    <col min="5" max="5" width="69.6640625" bestFit="1" customWidth="1"/>
    <col min="6" max="6" width="88" bestFit="1" customWidth="1"/>
    <col min="7" max="7" width="56.77734375" bestFit="1" customWidth="1"/>
    <col min="9" max="9" width="16.5546875" customWidth="1"/>
  </cols>
  <sheetData>
    <row r="1" spans="1:9" ht="46.8" thickBot="1" x14ac:dyDescent="0.35">
      <c r="A1" s="7" t="s">
        <v>52</v>
      </c>
      <c r="B1" s="7"/>
      <c r="C1" s="7"/>
      <c r="D1" s="7"/>
      <c r="E1" s="7"/>
      <c r="F1" s="7"/>
      <c r="G1" s="7"/>
      <c r="H1" t="s">
        <v>15</v>
      </c>
      <c r="I1" t="s">
        <v>16</v>
      </c>
    </row>
    <row r="2" spans="1:9" ht="69.599999999999994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</v>
      </c>
      <c r="G2" s="1" t="s">
        <v>14</v>
      </c>
    </row>
    <row r="3" spans="1:9" ht="15" x14ac:dyDescent="0.3">
      <c r="A3" s="3" t="s">
        <v>0</v>
      </c>
      <c r="B3" s="6" t="s">
        <v>43</v>
      </c>
      <c r="C3" s="6" t="str" cm="1">
        <f t="array" ref="C3">_xlfn.IFS(TRIM(B3)="Sunshine Coast","Sunshine Coast Council",TRIM(B3)="Moreton Bay","City of Moreton Bay",TRIM(B3)="Gold Coast","City of Gold Coast",TRIM(B3)="Ipswich","Ipswich City Council",TRUE,"")</f>
        <v>Sunshine Coast Council</v>
      </c>
      <c r="D3" s="6" t="str" cm="1">
        <f t="array" ref="D3">_xlfn.IFS(TRIM(B3)="Sunshine Coast", "Chemical Timber Treatment &amp; Soil Contamination Risk", TRIM(B3)="Moreton Bay", "Raw Material Stockpile &amp; Runoff Management Risk", TRIM(B3)="Gold Coast", "Heavy Mill Machinery WHS &amp; Noise Isolation Risk", TRIM(B3)="Ipswich", "Biosecurity Wood Pest &amp; Structural Storage Risk", TRUE, "")</f>
        <v>Chemical Timber Treatment &amp; Soil Contamination Risk</v>
      </c>
      <c r="E3" s="6" t="str" cm="1">
        <f t="array" ref="E3">_xlfn.IFS(TRIM(B3)="Sunshine Coast", "Bunded Chemical Storage Inspection &amp; Soil Sample Assay Log", TRIM(B3)="Moreton Bay", "Retention Basin Sediment Level Audit &amp; Stormwater Runoff pH Test", TRIM(B3)="Gold Coast", "Sawmill Blade Guard Integrity Log &amp; Daily Decibel Boundary Check", TRIM(B3)="Ipswich", "Imported Timber Pest Inspection Certificate Validation &amp; Stack Height Metric", TRUE, "")</f>
        <v>Bunded Chemical Storage Inspection &amp; Soil Sample Assay Log</v>
      </c>
      <c r="F3" s="6" t="str" cm="1">
        <f t="array" ref="F3">_xlfn.IFS(TRIM(B3)="Sunshine Coast", "100% containment bunding for all timber preservation chemicals and treatment vessels", TRIM(B3)="Moreton Bay", "Install sediment traps to prevent sawdust and organic matter from entering local catchments", TRIM(B3)="Gold Coast", "All operators must use Grade 5 hearing protection and follow strict lock-out/tag-out protocols", TRIM(B3)="Ipswich", "Timber stacks must not exceed 4 meters in height and undergo quarterly borer/termite screening", TRUE, "")</f>
        <v>100% containment bunding for all timber preservation chemicals and treatment vessels</v>
      </c>
      <c r="G3" s="6" t="str" cm="1">
        <f t="array" ref="G3">_xlfn.IFS(TRIM(B3)="Sunshine Coast", "DESI Chemical Management Regs / MS Loop Wooden Folder", TRIM(B3)="Moreton Bay", "Water Quality Environmental Protection Policy 2019", TRIM(B3)="Gold Coast", "WorkSafe QLD Sawmilling Guide / Loop WHS Files", TRIM(B3)="Ipswich", "Department of Agriculture and Fisheries Biosecurity Standards", TRUE, "")</f>
        <v>DESI Chemical Management Regs / MS Loop Wooden Folder</v>
      </c>
    </row>
    <row r="4" spans="1:9" ht="15" x14ac:dyDescent="0.3">
      <c r="A4" s="3" t="s">
        <v>2</v>
      </c>
      <c r="B4" s="6" t="s">
        <v>43</v>
      </c>
      <c r="C4" s="6" t="str" cm="1">
        <f t="array" ref="C4">_xlfn.IFS(TRIM(B4)="Sunshine Coast","Sunshine Coast Council",TRIM(B4)="Moreton Bay","City of Moreton Bay",TRIM(B4)="Gold Coast","City of Gold Coast",TRIM(B4)="Ipswich","Ipswich City Council",TRUE,"")</f>
        <v>Sunshine Coast Council</v>
      </c>
      <c r="D4" s="6" t="str" cm="1">
        <f t="array" ref="D4">_xlfn.IFS(TRIM(B4)="Sunshine Coast", "Chemical Timber Treatment &amp; Soil Contamination Risk", TRIM(B4)="Moreton Bay", "Raw Material Stockpile &amp; Runoff Management Risk", TRIM(B4)="Gold Coast", "Heavy Mill Machinery WHS &amp; Noise Isolation Risk", TRIM(B4)="Ipswich", "Biosecurity Wood Pest &amp; Structural Storage Risk", TRUE, "")</f>
        <v>Chemical Timber Treatment &amp; Soil Contamination Risk</v>
      </c>
      <c r="E4" s="6" t="str" cm="1">
        <f t="array" ref="E4">_xlfn.IFS(TRIM(B4)="Sunshine Coast", "Bunded Chemical Storage Inspection &amp; Soil Sample Assay Log", TRIM(B4)="Moreton Bay", "Retention Basin Sediment Level Audit &amp; Stormwater Runoff pH Test", TRIM(B4)="Gold Coast", "Sawmill Blade Guard Integrity Log &amp; Daily Decibel Boundary Check", TRIM(B4)="Ipswich", "Imported Timber Pest Inspection Certificate Validation &amp; Stack Height Metric", TRUE, "")</f>
        <v>Bunded Chemical Storage Inspection &amp; Soil Sample Assay Log</v>
      </c>
      <c r="F4" s="6" t="str" cm="1">
        <f t="array" ref="F4">_xlfn.IFS(TRIM(B4)="Sunshine Coast", "100% containment bunding for all timber preservation chemicals and treatment vessels", TRIM(B4)="Moreton Bay", "Install sediment traps to prevent sawdust and organic matter from entering local catchments", TRIM(B4)="Gold Coast", "All operators must use Grade 5 hearing protection and follow strict lock-out/tag-out protocols", TRIM(B4)="Ipswich", "Timber stacks must not exceed 4 meters in height and undergo quarterly borer/termite screening", TRUE, "")</f>
        <v>100% containment bunding for all timber preservation chemicals and treatment vessels</v>
      </c>
      <c r="G4" s="6" t="str" cm="1">
        <f t="array" ref="G4">_xlfn.IFS(TRIM(B4)="Sunshine Coast", "DESI Chemical Management Regs / MS Loop Wooden Folder", TRIM(B4)="Moreton Bay", "Water Quality Environmental Protection Policy 2019", TRIM(B4)="Gold Coast", "WorkSafe QLD Sawmilling Guide / Loop WHS Files", TRIM(B4)="Ipswich", "Department of Agriculture and Fisheries Biosecurity Standards", TRUE, "")</f>
        <v>DESI Chemical Management Regs / MS Loop Wooden Folder</v>
      </c>
    </row>
    <row r="5" spans="1:9" ht="15.6" x14ac:dyDescent="0.3">
      <c r="A5" s="4" t="s">
        <v>34</v>
      </c>
      <c r="B5" s="6" t="s">
        <v>45</v>
      </c>
      <c r="C5" s="6" t="str" cm="1">
        <f t="array" ref="C5">_xlfn.IFS(TRIM(B5)="Sunshine Coast","Sunshine Coast Council",TRIM(B5)="Moreton Bay","City of Moreton Bay",TRIM(B5)="Gold Coast","City of Gold Coast",TRIM(B5)="Ipswich","Ipswich City Council",TRUE,"")</f>
        <v>City of Moreton Bay</v>
      </c>
      <c r="D5" s="6" t="str" cm="1">
        <f t="array" ref="D5">_xlfn.IFS(TRIM(B5)="Sunshine Coast", "Chemical Timber Treatment &amp; Soil Contamination Risk", TRIM(B5)="Moreton Bay", "Raw Material Stockpile &amp; Runoff Management Risk", TRIM(B5)="Gold Coast", "Heavy Mill Machinery WHS &amp; Noise Isolation Risk", TRIM(B5)="Ipswich", "Biosecurity Wood Pest &amp; Structural Storage Risk", TRUE, "")</f>
        <v>Raw Material Stockpile &amp; Runoff Management Risk</v>
      </c>
      <c r="E5" s="6" t="str" cm="1">
        <f t="array" ref="E5">_xlfn.IFS(TRIM(B5)="Sunshine Coast", "Bunded Chemical Storage Inspection &amp; Soil Sample Assay Log", TRIM(B5)="Moreton Bay", "Retention Basin Sediment Level Audit &amp; Stormwater Runoff pH Test", TRIM(B5)="Gold Coast", "Sawmill Blade Guard Integrity Log &amp; Daily Decibel Boundary Check", TRIM(B5)="Ipswich", "Imported Timber Pest Inspection Certificate Validation &amp; Stack Height Metric", TRUE, "")</f>
        <v>Retention Basin Sediment Level Audit &amp; Stormwater Runoff pH Test</v>
      </c>
      <c r="F5" s="6" t="str" cm="1">
        <f t="array" ref="F5">_xlfn.IFS(TRIM(B5)="Sunshine Coast", "100% containment bunding for all timber preservation chemicals and treatment vessels", TRIM(B5)="Moreton Bay", "Install sediment traps to prevent sawdust and organic matter from entering local catchments", TRIM(B5)="Gold Coast", "All operators must use Grade 5 hearing protection and follow strict lock-out/tag-out protocols", TRIM(B5)="Ipswich", "Timber stacks must not exceed 4 meters in height and undergo quarterly borer/termite screening", TRUE, "")</f>
        <v>Install sediment traps to prevent sawdust and organic matter from entering local catchments</v>
      </c>
      <c r="G5" s="6" t="str" cm="1">
        <f t="array" ref="G5">_xlfn.IFS(TRIM(B5)="Sunshine Coast", "DESI Chemical Management Regs / MS Loop Wooden Folder", TRIM(B5)="Moreton Bay", "Water Quality Environmental Protection Policy 2019", TRIM(B5)="Gold Coast", "WorkSafe QLD Sawmilling Guide / Loop WHS Files", TRIM(B5)="Ipswich", "Department of Agriculture and Fisheries Biosecurity Standards", TRUE, "")</f>
        <v>Water Quality Environmental Protection Policy 2019</v>
      </c>
    </row>
    <row r="6" spans="1:9" ht="15.6" x14ac:dyDescent="0.3">
      <c r="A6" s="4" t="s">
        <v>32</v>
      </c>
      <c r="B6" s="6" t="s">
        <v>45</v>
      </c>
      <c r="C6" s="6" t="str" cm="1">
        <f t="array" ref="C6">_xlfn.IFS(TRIM(B6)="Sunshine Coast","Sunshine Coast Council",TRIM(B6)="Moreton Bay","City of Moreton Bay",TRIM(B6)="Gold Coast","City of Gold Coast",TRIM(B6)="Ipswich","Ipswich City Council",TRUE,"")</f>
        <v>City of Moreton Bay</v>
      </c>
      <c r="D6" s="6" t="str" cm="1">
        <f t="array" ref="D6">_xlfn.IFS(TRIM(B6)="Sunshine Coast", "Chemical Timber Treatment &amp; Soil Contamination Risk", TRIM(B6)="Moreton Bay", "Raw Material Stockpile &amp; Runoff Management Risk", TRIM(B6)="Gold Coast", "Heavy Mill Machinery WHS &amp; Noise Isolation Risk", TRIM(B6)="Ipswich", "Biosecurity Wood Pest &amp; Structural Storage Risk", TRUE, "")</f>
        <v>Raw Material Stockpile &amp; Runoff Management Risk</v>
      </c>
      <c r="E6" s="6" t="str" cm="1">
        <f t="array" ref="E6">_xlfn.IFS(TRIM(B6)="Sunshine Coast", "Bunded Chemical Storage Inspection &amp; Soil Sample Assay Log", TRIM(B6)="Moreton Bay", "Retention Basin Sediment Level Audit &amp; Stormwater Runoff pH Test", TRIM(B6)="Gold Coast", "Sawmill Blade Guard Integrity Log &amp; Daily Decibel Boundary Check", TRIM(B6)="Ipswich", "Imported Timber Pest Inspection Certificate Validation &amp; Stack Height Metric", TRUE, "")</f>
        <v>Retention Basin Sediment Level Audit &amp; Stormwater Runoff pH Test</v>
      </c>
      <c r="F6" s="6" t="str" cm="1">
        <f t="array" ref="F6">_xlfn.IFS(TRIM(B6)="Sunshine Coast", "100% containment bunding for all timber preservation chemicals and treatment vessels", TRIM(B6)="Moreton Bay", "Install sediment traps to prevent sawdust and organic matter from entering local catchments", TRIM(B6)="Gold Coast", "All operators must use Grade 5 hearing protection and follow strict lock-out/tag-out protocols", TRIM(B6)="Ipswich", "Timber stacks must not exceed 4 meters in height and undergo quarterly borer/termite screening", TRUE, "")</f>
        <v>Install sediment traps to prevent sawdust and organic matter from entering local catchments</v>
      </c>
      <c r="G6" s="6" t="str" cm="1">
        <f t="array" ref="G6">_xlfn.IFS(TRIM(B6)="Sunshine Coast", "DESI Chemical Management Regs / MS Loop Wooden Folder", TRIM(B6)="Moreton Bay", "Water Quality Environmental Protection Policy 2019", TRIM(B6)="Gold Coast", "WorkSafe QLD Sawmilling Guide / Loop WHS Files", TRIM(B6)="Ipswich", "Department of Agriculture and Fisheries Biosecurity Standards", TRUE, "")</f>
        <v>Water Quality Environmental Protection Policy 2019</v>
      </c>
    </row>
    <row r="7" spans="1:9" ht="15.6" x14ac:dyDescent="0.3">
      <c r="A7" s="4" t="s">
        <v>19</v>
      </c>
      <c r="B7" s="6" t="s">
        <v>44</v>
      </c>
      <c r="C7" s="6" t="str" cm="1">
        <f t="array" ref="C7">_xlfn.IFS(TRIM(B7)="Sunshine Coast","Sunshine Coast Council",TRIM(B7)="Moreton Bay","City of Moreton Bay",TRIM(B7)="Gold Coast","City of Gold Coast",TRIM(B7)="Ipswich","Ipswich City Council",TRUE,"")</f>
        <v>City of Gold Coast</v>
      </c>
      <c r="D7" s="6" t="str" cm="1">
        <f t="array" ref="D7">_xlfn.IFS(TRIM(B7)="Sunshine Coast", "Chemical Timber Treatment &amp; Soil Contamination Risk", TRIM(B7)="Moreton Bay", "Raw Material Stockpile &amp; Runoff Management Risk", TRIM(B7)="Gold Coast", "Heavy Mill Machinery WHS &amp; Noise Isolation Risk", TRIM(B7)="Ipswich", "Biosecurity Wood Pest &amp; Structural Storage Risk", TRUE, "")</f>
        <v>Heavy Mill Machinery WHS &amp; Noise Isolation Risk</v>
      </c>
      <c r="E7" s="6" t="str" cm="1">
        <f t="array" ref="E7">_xlfn.IFS(TRIM(B7)="Sunshine Coast", "Bunded Chemical Storage Inspection &amp; Soil Sample Assay Log", TRIM(B7)="Moreton Bay", "Retention Basin Sediment Level Audit &amp; Stormwater Runoff pH Test", TRIM(B7)="Gold Coast", "Sawmill Blade Guard Integrity Log &amp; Daily Decibel Boundary Check", TRIM(B7)="Ipswich", "Imported Timber Pest Inspection Certificate Validation &amp; Stack Height Metric", TRUE, "")</f>
        <v>Sawmill Blade Guard Integrity Log &amp; Daily Decibel Boundary Check</v>
      </c>
      <c r="F7" s="6" t="str" cm="1">
        <f t="array" ref="F7">_xlfn.IFS(TRIM(B7)="Sunshine Coast", "100% containment bunding for all timber preservation chemicals and treatment vessels", TRIM(B7)="Moreton Bay", "Install sediment traps to prevent sawdust and organic matter from entering local catchments", TRIM(B7)="Gold Coast", "All operators must use Grade 5 hearing protection and follow strict lock-out/tag-out protocols", TRIM(B7)="Ipswich", "Timber stacks must not exceed 4 meters in height and undergo quarterly borer/termite screening", TRUE, "")</f>
        <v>All operators must use Grade 5 hearing protection and follow strict lock-out/tag-out protocols</v>
      </c>
      <c r="G7" s="6" t="str" cm="1">
        <f t="array" ref="G7">_xlfn.IFS(TRIM(B7)="Sunshine Coast", "DESI Chemical Management Regs / MS Loop Wooden Folder", TRIM(B7)="Moreton Bay", "Water Quality Environmental Protection Policy 2019", TRIM(B7)="Gold Coast", "WorkSafe QLD Sawmilling Guide / Loop WHS Files", TRIM(B7)="Ipswich", "Department of Agriculture and Fisheries Biosecurity Standards", TRUE, "")</f>
        <v>WorkSafe QLD Sawmilling Guide / Loop WHS Files</v>
      </c>
    </row>
    <row r="8" spans="1:9" ht="15.6" x14ac:dyDescent="0.3">
      <c r="A8" s="4" t="s">
        <v>36</v>
      </c>
      <c r="B8" s="6" t="s">
        <v>45</v>
      </c>
      <c r="C8" s="6" t="str" cm="1">
        <f t="array" ref="C8">_xlfn.IFS(TRIM(B8)="Sunshine Coast","Sunshine Coast Council",TRIM(B8)="Moreton Bay","City of Moreton Bay",TRIM(B8)="Gold Coast","City of Gold Coast",TRIM(B8)="Ipswich","Ipswich City Council",TRUE,"")</f>
        <v>City of Moreton Bay</v>
      </c>
      <c r="D8" s="6" t="str" cm="1">
        <f t="array" ref="D8">_xlfn.IFS(TRIM(B8)="Sunshine Coast", "Chemical Timber Treatment &amp; Soil Contamination Risk", TRIM(B8)="Moreton Bay", "Raw Material Stockpile &amp; Runoff Management Risk", TRIM(B8)="Gold Coast", "Heavy Mill Machinery WHS &amp; Noise Isolation Risk", TRIM(B8)="Ipswich", "Biosecurity Wood Pest &amp; Structural Storage Risk", TRUE, "")</f>
        <v>Raw Material Stockpile &amp; Runoff Management Risk</v>
      </c>
      <c r="E8" s="6" t="str" cm="1">
        <f t="array" ref="E8">_xlfn.IFS(TRIM(B8)="Sunshine Coast", "Bunded Chemical Storage Inspection &amp; Soil Sample Assay Log", TRIM(B8)="Moreton Bay", "Retention Basin Sediment Level Audit &amp; Stormwater Runoff pH Test", TRIM(B8)="Gold Coast", "Sawmill Blade Guard Integrity Log &amp; Daily Decibel Boundary Check", TRIM(B8)="Ipswich", "Imported Timber Pest Inspection Certificate Validation &amp; Stack Height Metric", TRUE, "")</f>
        <v>Retention Basin Sediment Level Audit &amp; Stormwater Runoff pH Test</v>
      </c>
      <c r="F8" s="6" t="str" cm="1">
        <f t="array" ref="F8">_xlfn.IFS(TRIM(B8)="Sunshine Coast", "100% containment bunding for all timber preservation chemicals and treatment vessels", TRIM(B8)="Moreton Bay", "Install sediment traps to prevent sawdust and organic matter from entering local catchments", TRIM(B8)="Gold Coast", "All operators must use Grade 5 hearing protection and follow strict lock-out/tag-out protocols", TRIM(B8)="Ipswich", "Timber stacks must not exceed 4 meters in height and undergo quarterly borer/termite screening", TRUE, "")</f>
        <v>Install sediment traps to prevent sawdust and organic matter from entering local catchments</v>
      </c>
      <c r="G8" s="6" t="str" cm="1">
        <f t="array" ref="G8">_xlfn.IFS(TRIM(B8)="Sunshine Coast", "DESI Chemical Management Regs / MS Loop Wooden Folder", TRIM(B8)="Moreton Bay", "Water Quality Environmental Protection Policy 2019", TRIM(B8)="Gold Coast", "WorkSafe QLD Sawmilling Guide / Loop WHS Files", TRIM(B8)="Ipswich", "Department of Agriculture and Fisheries Biosecurity Standards", TRUE, "")</f>
        <v>Water Quality Environmental Protection Policy 2019</v>
      </c>
    </row>
    <row r="9" spans="1:9" ht="15" x14ac:dyDescent="0.3">
      <c r="A9" s="2" t="s">
        <v>47</v>
      </c>
      <c r="B9" s="5" t="s">
        <v>43</v>
      </c>
      <c r="C9" s="6" t="str" cm="1">
        <f t="array" ref="C9">_xlfn.IFS(TRIM(B9)="Sunshine Coast","Sunshine Coast Council",TRIM(B9)="Moreton Bay","City of Moreton Bay",TRIM(B9)="Gold Coast","City of Gold Coast",TRIM(B9)="Ipswich","Ipswich City Council",TRUE,"")</f>
        <v>Sunshine Coast Council</v>
      </c>
      <c r="D9" s="6" t="str" cm="1">
        <f t="array" ref="D9">_xlfn.IFS(TRIM(B9)="Sunshine Coast", "Chemical Timber Treatment &amp; Soil Contamination Risk", TRIM(B9)="Moreton Bay", "Raw Material Stockpile &amp; Runoff Management Risk", TRIM(B9)="Gold Coast", "Heavy Mill Machinery WHS &amp; Noise Isolation Risk", TRIM(B9)="Ipswich", "Biosecurity Wood Pest &amp; Structural Storage Risk", TRUE, "")</f>
        <v>Chemical Timber Treatment &amp; Soil Contamination Risk</v>
      </c>
      <c r="E9" s="6" t="str" cm="1">
        <f t="array" ref="E9">_xlfn.IFS(TRIM(B9)="Sunshine Coast", "Bunded Chemical Storage Inspection &amp; Soil Sample Assay Log", TRIM(B9)="Moreton Bay", "Retention Basin Sediment Level Audit &amp; Stormwater Runoff pH Test", TRIM(B9)="Gold Coast", "Sawmill Blade Guard Integrity Log &amp; Daily Decibel Boundary Check", TRIM(B9)="Ipswich", "Imported Timber Pest Inspection Certificate Validation &amp; Stack Height Metric", TRUE, "")</f>
        <v>Bunded Chemical Storage Inspection &amp; Soil Sample Assay Log</v>
      </c>
      <c r="F9" s="6" t="str" cm="1">
        <f t="array" ref="F9">_xlfn.IFS(TRIM(B9)="Sunshine Coast", "100% containment bunding for all timber preservation chemicals and treatment vessels", TRIM(B9)="Moreton Bay", "Install sediment traps to prevent sawdust and organic matter from entering local catchments", TRIM(B9)="Gold Coast", "All operators must use Grade 5 hearing protection and follow strict lock-out/tag-out protocols", TRIM(B9)="Ipswich", "Timber stacks must not exceed 4 meters in height and undergo quarterly borer/termite screening", TRUE, "")</f>
        <v>100% containment bunding for all timber preservation chemicals and treatment vessels</v>
      </c>
      <c r="G9" s="6" t="str" cm="1">
        <f t="array" ref="G9">_xlfn.IFS(TRIM(B9)="Sunshine Coast", "DESI Chemical Management Regs / MS Loop Wooden Folder", TRIM(B9)="Moreton Bay", "Water Quality Environmental Protection Policy 2019", TRIM(B9)="Gold Coast", "WorkSafe QLD Sawmilling Guide / Loop WHS Files", TRIM(B9)="Ipswich", "Department of Agriculture and Fisheries Biosecurity Standards", TRUE, "")</f>
        <v>DESI Chemical Management Regs / MS Loop Wooden Folder</v>
      </c>
    </row>
    <row r="10" spans="1:9" ht="15" x14ac:dyDescent="0.3">
      <c r="A10" s="3" t="s">
        <v>5</v>
      </c>
      <c r="B10" s="6" t="s">
        <v>43</v>
      </c>
      <c r="C10" s="6" t="str" cm="1">
        <f t="array" ref="C10">_xlfn.IFS(TRIM(B10)="Sunshine Coast","Sunshine Coast Council",TRIM(B10)="Moreton Bay","City of Moreton Bay",TRIM(B10)="Gold Coast","City of Gold Coast",TRIM(B10)="Ipswich","Ipswich City Council",TRUE,"")</f>
        <v>Sunshine Coast Council</v>
      </c>
      <c r="D10" s="6" t="str" cm="1">
        <f t="array" ref="D10">_xlfn.IFS(TRIM(B10)="Sunshine Coast", "Chemical Timber Treatment &amp; Soil Contamination Risk", TRIM(B10)="Moreton Bay", "Raw Material Stockpile &amp; Runoff Management Risk", TRIM(B10)="Gold Coast", "Heavy Mill Machinery WHS &amp; Noise Isolation Risk", TRIM(B10)="Ipswich", "Biosecurity Wood Pest &amp; Structural Storage Risk", TRUE, "")</f>
        <v>Chemical Timber Treatment &amp; Soil Contamination Risk</v>
      </c>
      <c r="E10" s="6" t="str" cm="1">
        <f t="array" ref="E10">_xlfn.IFS(TRIM(B10)="Sunshine Coast", "Bunded Chemical Storage Inspection &amp; Soil Sample Assay Log", TRIM(B10)="Moreton Bay", "Retention Basin Sediment Level Audit &amp; Stormwater Runoff pH Test", TRIM(B10)="Gold Coast", "Sawmill Blade Guard Integrity Log &amp; Daily Decibel Boundary Check", TRIM(B10)="Ipswich", "Imported Timber Pest Inspection Certificate Validation &amp; Stack Height Metric", TRUE, "")</f>
        <v>Bunded Chemical Storage Inspection &amp; Soil Sample Assay Log</v>
      </c>
      <c r="F10" s="6" t="str" cm="1">
        <f t="array" ref="F10">_xlfn.IFS(TRIM(B10)="Sunshine Coast", "100% containment bunding for all timber preservation chemicals and treatment vessels", TRIM(B10)="Moreton Bay", "Install sediment traps to prevent sawdust and organic matter from entering local catchments", TRIM(B10)="Gold Coast", "All operators must use Grade 5 hearing protection and follow strict lock-out/tag-out protocols", TRIM(B10)="Ipswich", "Timber stacks must not exceed 4 meters in height and undergo quarterly borer/termite screening", TRUE, "")</f>
        <v>100% containment bunding for all timber preservation chemicals and treatment vessels</v>
      </c>
      <c r="G10" s="6" t="str" cm="1">
        <f t="array" ref="G10">_xlfn.IFS(TRIM(B10)="Sunshine Coast", "DESI Chemical Management Regs / MS Loop Wooden Folder", TRIM(B10)="Moreton Bay", "Water Quality Environmental Protection Policy 2019", TRIM(B10)="Gold Coast", "WorkSafe QLD Sawmilling Guide / Loop WHS Files", TRIM(B10)="Ipswich", "Department of Agriculture and Fisheries Biosecurity Standards", TRUE, "")</f>
        <v>DESI Chemical Management Regs / MS Loop Wooden Folder</v>
      </c>
    </row>
    <row r="11" spans="1:9" ht="15" x14ac:dyDescent="0.3">
      <c r="A11" s="3" t="s">
        <v>1</v>
      </c>
      <c r="B11" s="6" t="s">
        <v>43</v>
      </c>
      <c r="C11" s="6" t="str" cm="1">
        <f t="array" ref="C11">_xlfn.IFS(TRIM(B11)="Sunshine Coast","Sunshine Coast Council",TRIM(B11)="Moreton Bay","City of Moreton Bay",TRIM(B11)="Gold Coast","City of Gold Coast",TRIM(B11)="Ipswich","Ipswich City Council",TRUE,"")</f>
        <v>Sunshine Coast Council</v>
      </c>
      <c r="D11" s="6" t="str" cm="1">
        <f t="array" ref="D11">_xlfn.IFS(TRIM(B11)="Sunshine Coast", "Chemical Timber Treatment &amp; Soil Contamination Risk", TRIM(B11)="Moreton Bay", "Raw Material Stockpile &amp; Runoff Management Risk", TRIM(B11)="Gold Coast", "Heavy Mill Machinery WHS &amp; Noise Isolation Risk", TRIM(B11)="Ipswich", "Biosecurity Wood Pest &amp; Structural Storage Risk", TRUE, "")</f>
        <v>Chemical Timber Treatment &amp; Soil Contamination Risk</v>
      </c>
      <c r="E11" s="6" t="str" cm="1">
        <f t="array" ref="E11">_xlfn.IFS(TRIM(B11)="Sunshine Coast", "Bunded Chemical Storage Inspection &amp; Soil Sample Assay Log", TRIM(B11)="Moreton Bay", "Retention Basin Sediment Level Audit &amp; Stormwater Runoff pH Test", TRIM(B11)="Gold Coast", "Sawmill Blade Guard Integrity Log &amp; Daily Decibel Boundary Check", TRIM(B11)="Ipswich", "Imported Timber Pest Inspection Certificate Validation &amp; Stack Height Metric", TRUE, "")</f>
        <v>Bunded Chemical Storage Inspection &amp; Soil Sample Assay Log</v>
      </c>
      <c r="F11" s="6" t="str" cm="1">
        <f t="array" ref="F11">_xlfn.IFS(TRIM(B11)="Sunshine Coast", "100% containment bunding for all timber preservation chemicals and treatment vessels", TRIM(B11)="Moreton Bay", "Install sediment traps to prevent sawdust and organic matter from entering local catchments", TRIM(B11)="Gold Coast", "All operators must use Grade 5 hearing protection and follow strict lock-out/tag-out protocols", TRIM(B11)="Ipswich", "Timber stacks must not exceed 4 meters in height and undergo quarterly borer/termite screening", TRUE, "")</f>
        <v>100% containment bunding for all timber preservation chemicals and treatment vessels</v>
      </c>
      <c r="G11" s="6" t="str" cm="1">
        <f t="array" ref="G11">_xlfn.IFS(TRIM(B11)="Sunshine Coast", "DESI Chemical Management Regs / MS Loop Wooden Folder", TRIM(B11)="Moreton Bay", "Water Quality Environmental Protection Policy 2019", TRIM(B11)="Gold Coast", "WorkSafe QLD Sawmilling Guide / Loop WHS Files", TRIM(B11)="Ipswich", "Department of Agriculture and Fisheries Biosecurity Standards", TRUE, "")</f>
        <v>DESI Chemical Management Regs / MS Loop Wooden Folder</v>
      </c>
    </row>
    <row r="12" spans="1:9" ht="15.6" x14ac:dyDescent="0.3">
      <c r="A12" s="4" t="s">
        <v>21</v>
      </c>
      <c r="B12" s="6" t="s">
        <v>44</v>
      </c>
      <c r="C12" s="6" t="str" cm="1">
        <f t="array" ref="C12">_xlfn.IFS(TRIM(B12)="Sunshine Coast","Sunshine Coast Council",TRIM(B12)="Moreton Bay","City of Moreton Bay",TRIM(B12)="Gold Coast","City of Gold Coast",TRIM(B12)="Ipswich","Ipswich City Council",TRUE,"")</f>
        <v>City of Gold Coast</v>
      </c>
      <c r="D12" s="6" t="str" cm="1">
        <f t="array" ref="D12">_xlfn.IFS(TRIM(B12)="Sunshine Coast", "Chemical Timber Treatment &amp; Soil Contamination Risk", TRIM(B12)="Moreton Bay", "Raw Material Stockpile &amp; Runoff Management Risk", TRIM(B12)="Gold Coast", "Heavy Mill Machinery WHS &amp; Noise Isolation Risk", TRIM(B12)="Ipswich", "Biosecurity Wood Pest &amp; Structural Storage Risk", TRUE, "")</f>
        <v>Heavy Mill Machinery WHS &amp; Noise Isolation Risk</v>
      </c>
      <c r="E12" s="6" t="str" cm="1">
        <f t="array" ref="E12">_xlfn.IFS(TRIM(B12)="Sunshine Coast", "Bunded Chemical Storage Inspection &amp; Soil Sample Assay Log", TRIM(B12)="Moreton Bay", "Retention Basin Sediment Level Audit &amp; Stormwater Runoff pH Test", TRIM(B12)="Gold Coast", "Sawmill Blade Guard Integrity Log &amp; Daily Decibel Boundary Check", TRIM(B12)="Ipswich", "Imported Timber Pest Inspection Certificate Validation &amp; Stack Height Metric", TRUE, "")</f>
        <v>Sawmill Blade Guard Integrity Log &amp; Daily Decibel Boundary Check</v>
      </c>
      <c r="F12" s="6" t="str" cm="1">
        <f t="array" ref="F12">_xlfn.IFS(TRIM(B12)="Sunshine Coast", "100% containment bunding for all timber preservation chemicals and treatment vessels", TRIM(B12)="Moreton Bay", "Install sediment traps to prevent sawdust and organic matter from entering local catchments", TRIM(B12)="Gold Coast", "All operators must use Grade 5 hearing protection and follow strict lock-out/tag-out protocols", TRIM(B12)="Ipswich", "Timber stacks must not exceed 4 meters in height and undergo quarterly borer/termite screening", TRUE, "")</f>
        <v>All operators must use Grade 5 hearing protection and follow strict lock-out/tag-out protocols</v>
      </c>
      <c r="G12" s="6" t="str" cm="1">
        <f t="array" ref="G12">_xlfn.IFS(TRIM(B12)="Sunshine Coast", "DESI Chemical Management Regs / MS Loop Wooden Folder", TRIM(B12)="Moreton Bay", "Water Quality Environmental Protection Policy 2019", TRIM(B12)="Gold Coast", "WorkSafe QLD Sawmilling Guide / Loop WHS Files", TRIM(B12)="Ipswich", "Department of Agriculture and Fisheries Biosecurity Standards", TRUE, "")</f>
        <v>WorkSafe QLD Sawmilling Guide / Loop WHS Files</v>
      </c>
    </row>
    <row r="13" spans="1:9" ht="15.6" x14ac:dyDescent="0.3">
      <c r="A13" s="4" t="s">
        <v>20</v>
      </c>
      <c r="B13" s="6" t="s">
        <v>44</v>
      </c>
      <c r="C13" s="6" t="str" cm="1">
        <f t="array" ref="C13">_xlfn.IFS(TRIM(B13)="Sunshine Coast","Sunshine Coast Council",TRIM(B13)="Moreton Bay","City of Moreton Bay",TRIM(B13)="Gold Coast","City of Gold Coast",TRIM(B13)="Ipswich","Ipswich City Council",TRUE,"")</f>
        <v>City of Gold Coast</v>
      </c>
      <c r="D13" s="6" t="str" cm="1">
        <f t="array" ref="D13">_xlfn.IFS(TRIM(B13)="Sunshine Coast", "Chemical Timber Treatment &amp; Soil Contamination Risk", TRIM(B13)="Moreton Bay", "Raw Material Stockpile &amp; Runoff Management Risk", TRIM(B13)="Gold Coast", "Heavy Mill Machinery WHS &amp; Noise Isolation Risk", TRIM(B13)="Ipswich", "Biosecurity Wood Pest &amp; Structural Storage Risk", TRUE, "")</f>
        <v>Heavy Mill Machinery WHS &amp; Noise Isolation Risk</v>
      </c>
      <c r="E13" s="6" t="str" cm="1">
        <f t="array" ref="E13">_xlfn.IFS(TRIM(B13)="Sunshine Coast", "Bunded Chemical Storage Inspection &amp; Soil Sample Assay Log", TRIM(B13)="Moreton Bay", "Retention Basin Sediment Level Audit &amp; Stormwater Runoff pH Test", TRIM(B13)="Gold Coast", "Sawmill Blade Guard Integrity Log &amp; Daily Decibel Boundary Check", TRIM(B13)="Ipswich", "Imported Timber Pest Inspection Certificate Validation &amp; Stack Height Metric", TRUE, "")</f>
        <v>Sawmill Blade Guard Integrity Log &amp; Daily Decibel Boundary Check</v>
      </c>
      <c r="F13" s="6" t="str" cm="1">
        <f t="array" ref="F13">_xlfn.IFS(TRIM(B13)="Sunshine Coast", "100% containment bunding for all timber preservation chemicals and treatment vessels", TRIM(B13)="Moreton Bay", "Install sediment traps to prevent sawdust and organic matter from entering local catchments", TRIM(B13)="Gold Coast", "All operators must use Grade 5 hearing protection and follow strict lock-out/tag-out protocols", TRIM(B13)="Ipswich", "Timber stacks must not exceed 4 meters in height and undergo quarterly borer/termite screening", TRUE, "")</f>
        <v>All operators must use Grade 5 hearing protection and follow strict lock-out/tag-out protocols</v>
      </c>
      <c r="G13" s="6" t="str" cm="1">
        <f t="array" ref="G13">_xlfn.IFS(TRIM(B13)="Sunshine Coast", "DESI Chemical Management Regs / MS Loop Wooden Folder", TRIM(B13)="Moreton Bay", "Water Quality Environmental Protection Policy 2019", TRIM(B13)="Gold Coast", "WorkSafe QLD Sawmilling Guide / Loop WHS Files", TRIM(B13)="Ipswich", "Department of Agriculture and Fisheries Biosecurity Standards", TRUE, "")</f>
        <v>WorkSafe QLD Sawmilling Guide / Loop WHS Files</v>
      </c>
    </row>
    <row r="14" spans="1:9" ht="15.6" x14ac:dyDescent="0.3">
      <c r="A14" s="4" t="s">
        <v>46</v>
      </c>
      <c r="B14" s="6" t="s">
        <v>38</v>
      </c>
      <c r="C14" s="6" t="str" cm="1">
        <f t="array" ref="C14">_xlfn.IFS(TRIM(B14)="Sunshine Coast","Sunshine Coast Council",TRIM(B14)="Moreton Bay","City of Moreton Bay",TRIM(B14)="Gold Coast","City of Gold Coast",TRIM(B14)="Ipswich","Ipswich City Council",TRUE,"")</f>
        <v>Ipswich City Council</v>
      </c>
      <c r="D14" s="6" t="str" cm="1">
        <f t="array" ref="D14">_xlfn.IFS(TRIM(B14)="Sunshine Coast", "Chemical Timber Treatment &amp; Soil Contamination Risk", TRIM(B14)="Moreton Bay", "Raw Material Stockpile &amp; Runoff Management Risk", TRIM(B14)="Gold Coast", "Heavy Mill Machinery WHS &amp; Noise Isolation Risk", TRIM(B14)="Ipswich", "Biosecurity Wood Pest &amp; Structural Storage Risk", TRUE, "")</f>
        <v>Biosecurity Wood Pest &amp; Structural Storage Risk</v>
      </c>
      <c r="E14" s="6" t="str" cm="1">
        <f t="array" ref="E14">_xlfn.IFS(TRIM(B14)="Sunshine Coast", "Bunded Chemical Storage Inspection &amp; Soil Sample Assay Log", TRIM(B14)="Moreton Bay", "Retention Basin Sediment Level Audit &amp; Stormwater Runoff pH Test", TRIM(B14)="Gold Coast", "Sawmill Blade Guard Integrity Log &amp; Daily Decibel Boundary Check", TRIM(B14)="Ipswich", "Imported Timber Pest Inspection Certificate Validation &amp; Stack Height Metric", TRUE, "")</f>
        <v>Imported Timber Pest Inspection Certificate Validation &amp; Stack Height Metric</v>
      </c>
      <c r="F14" s="6" t="str" cm="1">
        <f t="array" ref="F14">_xlfn.IFS(TRIM(B14)="Sunshine Coast", "100% containment bunding for all timber preservation chemicals and treatment vessels", TRIM(B14)="Moreton Bay", "Install sediment traps to prevent sawdust and organic matter from entering local catchments", TRIM(B14)="Gold Coast", "All operators must use Grade 5 hearing protection and follow strict lock-out/tag-out protocols", TRIM(B14)="Ipswich", "Timber stacks must not exceed 4 meters in height and undergo quarterly borer/termite screening", TRUE, "")</f>
        <v>Timber stacks must not exceed 4 meters in height and undergo quarterly borer/termite screening</v>
      </c>
      <c r="G14" s="6" t="str" cm="1">
        <f t="array" ref="G14">_xlfn.IFS(TRIM(B14)="Sunshine Coast", "DESI Chemical Management Regs / MS Loop Wooden Folder", TRIM(B14)="Moreton Bay", "Water Quality Environmental Protection Policy 2019", TRIM(B14)="Gold Coast", "WorkSafe QLD Sawmilling Guide / Loop WHS Files", TRIM(B14)="Ipswich", "Department of Agriculture and Fisheries Biosecurity Standards", TRUE, "")</f>
        <v>Department of Agriculture and Fisheries Biosecurity Standards</v>
      </c>
    </row>
    <row r="15" spans="1:9" ht="15.6" x14ac:dyDescent="0.3">
      <c r="A15" s="4" t="s">
        <v>30</v>
      </c>
      <c r="B15" s="6" t="s">
        <v>45</v>
      </c>
      <c r="C15" s="6" t="str" cm="1">
        <f t="array" ref="C15">_xlfn.IFS(TRIM(B15)="Sunshine Coast","Sunshine Coast Council",TRIM(B15)="Moreton Bay","City of Moreton Bay",TRIM(B15)="Gold Coast","City of Gold Coast",TRIM(B15)="Ipswich","Ipswich City Council",TRUE,"")</f>
        <v>City of Moreton Bay</v>
      </c>
      <c r="D15" s="6" t="str" cm="1">
        <f t="array" ref="D15">_xlfn.IFS(TRIM(B15)="Sunshine Coast", "Chemical Timber Treatment &amp; Soil Contamination Risk", TRIM(B15)="Moreton Bay", "Raw Material Stockpile &amp; Runoff Management Risk", TRIM(B15)="Gold Coast", "Heavy Mill Machinery WHS &amp; Noise Isolation Risk", TRIM(B15)="Ipswich", "Biosecurity Wood Pest &amp; Structural Storage Risk", TRUE, "")</f>
        <v>Raw Material Stockpile &amp; Runoff Management Risk</v>
      </c>
      <c r="E15" s="6" t="str" cm="1">
        <f t="array" ref="E15">_xlfn.IFS(TRIM(B15)="Sunshine Coast", "Bunded Chemical Storage Inspection &amp; Soil Sample Assay Log", TRIM(B15)="Moreton Bay", "Retention Basin Sediment Level Audit &amp; Stormwater Runoff pH Test", TRIM(B15)="Gold Coast", "Sawmill Blade Guard Integrity Log &amp; Daily Decibel Boundary Check", TRIM(B15)="Ipswich", "Imported Timber Pest Inspection Certificate Validation &amp; Stack Height Metric", TRUE, "")</f>
        <v>Retention Basin Sediment Level Audit &amp; Stormwater Runoff pH Test</v>
      </c>
      <c r="F15" s="6" t="str" cm="1">
        <f t="array" ref="F15">_xlfn.IFS(TRIM(B15)="Sunshine Coast", "100% containment bunding for all timber preservation chemicals and treatment vessels", TRIM(B15)="Moreton Bay", "Install sediment traps to prevent sawdust and organic matter from entering local catchments", TRIM(B15)="Gold Coast", "All operators must use Grade 5 hearing protection and follow strict lock-out/tag-out protocols", TRIM(B15)="Ipswich", "Timber stacks must not exceed 4 meters in height and undergo quarterly borer/termite screening", TRUE, "")</f>
        <v>Install sediment traps to prevent sawdust and organic matter from entering local catchments</v>
      </c>
      <c r="G15" s="6" t="str" cm="1">
        <f t="array" ref="G15">_xlfn.IFS(TRIM(B15)="Sunshine Coast", "DESI Chemical Management Regs / MS Loop Wooden Folder", TRIM(B15)="Moreton Bay", "Water Quality Environmental Protection Policy 2019", TRIM(B15)="Gold Coast", "WorkSafe QLD Sawmilling Guide / Loop WHS Files", TRIM(B15)="Ipswich", "Department of Agriculture and Fisheries Biosecurity Standards", TRUE, "")</f>
        <v>Water Quality Environmental Protection Policy 2019</v>
      </c>
    </row>
    <row r="16" spans="1:9" ht="15.6" x14ac:dyDescent="0.3">
      <c r="A16" s="4" t="s">
        <v>25</v>
      </c>
      <c r="B16" s="6" t="s">
        <v>45</v>
      </c>
      <c r="C16" s="6" t="str" cm="1">
        <f t="array" ref="C16">_xlfn.IFS(TRIM(B16)="Sunshine Coast","Sunshine Coast Council",TRIM(B16)="Moreton Bay","City of Moreton Bay",TRIM(B16)="Gold Coast","City of Gold Coast",TRIM(B16)="Ipswich","Ipswich City Council",TRUE,"")</f>
        <v>City of Moreton Bay</v>
      </c>
      <c r="D16" s="6" t="str" cm="1">
        <f t="array" ref="D16">_xlfn.IFS(TRIM(B16)="Sunshine Coast", "Chemical Timber Treatment &amp; Soil Contamination Risk", TRIM(B16)="Moreton Bay", "Raw Material Stockpile &amp; Runoff Management Risk", TRIM(B16)="Gold Coast", "Heavy Mill Machinery WHS &amp; Noise Isolation Risk", TRIM(B16)="Ipswich", "Biosecurity Wood Pest &amp; Structural Storage Risk", TRUE, "")</f>
        <v>Raw Material Stockpile &amp; Runoff Management Risk</v>
      </c>
      <c r="E16" s="6" t="str" cm="1">
        <f t="array" ref="E16">_xlfn.IFS(TRIM(B16)="Sunshine Coast", "Bunded Chemical Storage Inspection &amp; Soil Sample Assay Log", TRIM(B16)="Moreton Bay", "Retention Basin Sediment Level Audit &amp; Stormwater Runoff pH Test", TRIM(B16)="Gold Coast", "Sawmill Blade Guard Integrity Log &amp; Daily Decibel Boundary Check", TRIM(B16)="Ipswich", "Imported Timber Pest Inspection Certificate Validation &amp; Stack Height Metric", TRUE, "")</f>
        <v>Retention Basin Sediment Level Audit &amp; Stormwater Runoff pH Test</v>
      </c>
      <c r="F16" s="6" t="str" cm="1">
        <f t="array" ref="F16">_xlfn.IFS(TRIM(B16)="Sunshine Coast", "100% containment bunding for all timber preservation chemicals and treatment vessels", TRIM(B16)="Moreton Bay", "Install sediment traps to prevent sawdust and organic matter from entering local catchments", TRIM(B16)="Gold Coast", "All operators must use Grade 5 hearing protection and follow strict lock-out/tag-out protocols", TRIM(B16)="Ipswich", "Timber stacks must not exceed 4 meters in height and undergo quarterly borer/termite screening", TRUE, "")</f>
        <v>Install sediment traps to prevent sawdust and organic matter from entering local catchments</v>
      </c>
      <c r="G16" s="6" t="str" cm="1">
        <f t="array" ref="G16">_xlfn.IFS(TRIM(B16)="Sunshine Coast", "DESI Chemical Management Regs / MS Loop Wooden Folder", TRIM(B16)="Moreton Bay", "Water Quality Environmental Protection Policy 2019", TRIM(B16)="Gold Coast", "WorkSafe QLD Sawmilling Guide / Loop WHS Files", TRIM(B16)="Ipswich", "Department of Agriculture and Fisheries Biosecurity Standards", TRUE, "")</f>
        <v>Water Quality Environmental Protection Policy 2019</v>
      </c>
    </row>
    <row r="17" spans="1:7" ht="15" x14ac:dyDescent="0.3">
      <c r="A17" s="3" t="s">
        <v>3</v>
      </c>
      <c r="B17" s="6" t="s">
        <v>43</v>
      </c>
      <c r="C17" s="6" t="str" cm="1">
        <f t="array" ref="C17">_xlfn.IFS(TRIM(B17)="Sunshine Coast","Sunshine Coast Council",TRIM(B17)="Moreton Bay","City of Moreton Bay",TRIM(B17)="Gold Coast","City of Gold Coast",TRIM(B17)="Ipswich","Ipswich City Council",TRUE,"")</f>
        <v>Sunshine Coast Council</v>
      </c>
      <c r="D17" s="6" t="str" cm="1">
        <f t="array" ref="D17">_xlfn.IFS(TRIM(B17)="Sunshine Coast", "Chemical Timber Treatment &amp; Soil Contamination Risk", TRIM(B17)="Moreton Bay", "Raw Material Stockpile &amp; Runoff Management Risk", TRIM(B17)="Gold Coast", "Heavy Mill Machinery WHS &amp; Noise Isolation Risk", TRIM(B17)="Ipswich", "Biosecurity Wood Pest &amp; Structural Storage Risk", TRUE, "")</f>
        <v>Chemical Timber Treatment &amp; Soil Contamination Risk</v>
      </c>
      <c r="E17" s="6" t="str" cm="1">
        <f t="array" ref="E17">_xlfn.IFS(TRIM(B17)="Sunshine Coast", "Bunded Chemical Storage Inspection &amp; Soil Sample Assay Log", TRIM(B17)="Moreton Bay", "Retention Basin Sediment Level Audit &amp; Stormwater Runoff pH Test", TRIM(B17)="Gold Coast", "Sawmill Blade Guard Integrity Log &amp; Daily Decibel Boundary Check", TRIM(B17)="Ipswich", "Imported Timber Pest Inspection Certificate Validation &amp; Stack Height Metric", TRUE, "")</f>
        <v>Bunded Chemical Storage Inspection &amp; Soil Sample Assay Log</v>
      </c>
      <c r="F17" s="6" t="str" cm="1">
        <f t="array" ref="F17">_xlfn.IFS(TRIM(B17)="Sunshine Coast", "100% containment bunding for all timber preservation chemicals and treatment vessels", TRIM(B17)="Moreton Bay", "Install sediment traps to prevent sawdust and organic matter from entering local catchments", TRIM(B17)="Gold Coast", "All operators must use Grade 5 hearing protection and follow strict lock-out/tag-out protocols", TRIM(B17)="Ipswich", "Timber stacks must not exceed 4 meters in height and undergo quarterly borer/termite screening", TRUE, "")</f>
        <v>100% containment bunding for all timber preservation chemicals and treatment vessels</v>
      </c>
      <c r="G17" s="6" t="str" cm="1">
        <f t="array" ref="G17">_xlfn.IFS(TRIM(B17)="Sunshine Coast", "DESI Chemical Management Regs / MS Loop Wooden Folder", TRIM(B17)="Moreton Bay", "Water Quality Environmental Protection Policy 2019", TRIM(B17)="Gold Coast", "WorkSafe QLD Sawmilling Guide / Loop WHS Files", TRIM(B17)="Ipswich", "Department of Agriculture and Fisheries Biosecurity Standards", TRUE, "")</f>
        <v>DESI Chemical Management Regs / MS Loop Wooden Folder</v>
      </c>
    </row>
    <row r="18" spans="1:7" ht="15.6" x14ac:dyDescent="0.3">
      <c r="A18" s="4" t="s">
        <v>27</v>
      </c>
      <c r="B18" s="6" t="s">
        <v>45</v>
      </c>
      <c r="C18" s="6" t="str" cm="1">
        <f t="array" ref="C18">_xlfn.IFS(TRIM(B18)="Sunshine Coast","Sunshine Coast Council",TRIM(B18)="Moreton Bay","City of Moreton Bay",TRIM(B18)="Gold Coast","City of Gold Coast",TRIM(B18)="Ipswich","Ipswich City Council",TRUE,"")</f>
        <v>City of Moreton Bay</v>
      </c>
      <c r="D18" s="6" t="str" cm="1">
        <f t="array" ref="D18">_xlfn.IFS(TRIM(B18)="Sunshine Coast", "Chemical Timber Treatment &amp; Soil Contamination Risk", TRIM(B18)="Moreton Bay", "Raw Material Stockpile &amp; Runoff Management Risk", TRIM(B18)="Gold Coast", "Heavy Mill Machinery WHS &amp; Noise Isolation Risk", TRIM(B18)="Ipswich", "Biosecurity Wood Pest &amp; Structural Storage Risk", TRUE, "")</f>
        <v>Raw Material Stockpile &amp; Runoff Management Risk</v>
      </c>
      <c r="E18" s="6" t="str" cm="1">
        <f t="array" ref="E18">_xlfn.IFS(TRIM(B18)="Sunshine Coast", "Bunded Chemical Storage Inspection &amp; Soil Sample Assay Log", TRIM(B18)="Moreton Bay", "Retention Basin Sediment Level Audit &amp; Stormwater Runoff pH Test", TRIM(B18)="Gold Coast", "Sawmill Blade Guard Integrity Log &amp; Daily Decibel Boundary Check", TRIM(B18)="Ipswich", "Imported Timber Pest Inspection Certificate Validation &amp; Stack Height Metric", TRUE, "")</f>
        <v>Retention Basin Sediment Level Audit &amp; Stormwater Runoff pH Test</v>
      </c>
      <c r="F18" s="6" t="str" cm="1">
        <f t="array" ref="F18">_xlfn.IFS(TRIM(B18)="Sunshine Coast", "100% containment bunding for all timber preservation chemicals and treatment vessels", TRIM(B18)="Moreton Bay", "Install sediment traps to prevent sawdust and organic matter from entering local catchments", TRIM(B18)="Gold Coast", "All operators must use Grade 5 hearing protection and follow strict lock-out/tag-out protocols", TRIM(B18)="Ipswich", "Timber stacks must not exceed 4 meters in height and undergo quarterly borer/termite screening", TRUE, "")</f>
        <v>Install sediment traps to prevent sawdust and organic matter from entering local catchments</v>
      </c>
      <c r="G18" s="6" t="str" cm="1">
        <f t="array" ref="G18">_xlfn.IFS(TRIM(B18)="Sunshine Coast", "DESI Chemical Management Regs / MS Loop Wooden Folder", TRIM(B18)="Moreton Bay", "Water Quality Environmental Protection Policy 2019", TRIM(B18)="Gold Coast", "WorkSafe QLD Sawmilling Guide / Loop WHS Files", TRIM(B18)="Ipswich", "Department of Agriculture and Fisheries Biosecurity Standards", TRUE, "")</f>
        <v>Water Quality Environmental Protection Policy 2019</v>
      </c>
    </row>
    <row r="19" spans="1:7" ht="15.6" x14ac:dyDescent="0.3">
      <c r="A19" s="4" t="s">
        <v>28</v>
      </c>
      <c r="B19" s="6" t="s">
        <v>45</v>
      </c>
      <c r="C19" s="6" t="str" cm="1">
        <f t="array" ref="C19">_xlfn.IFS(TRIM(B19)="Sunshine Coast","Sunshine Coast Council",TRIM(B19)="Moreton Bay","City of Moreton Bay",TRIM(B19)="Gold Coast","City of Gold Coast",TRIM(B19)="Ipswich","Ipswich City Council",TRUE,"")</f>
        <v>City of Moreton Bay</v>
      </c>
      <c r="D19" s="6" t="str" cm="1">
        <f t="array" ref="D19">_xlfn.IFS(TRIM(B19)="Sunshine Coast", "Chemical Timber Treatment &amp; Soil Contamination Risk", TRIM(B19)="Moreton Bay", "Raw Material Stockpile &amp; Runoff Management Risk", TRIM(B19)="Gold Coast", "Heavy Mill Machinery WHS &amp; Noise Isolation Risk", TRIM(B19)="Ipswich", "Biosecurity Wood Pest &amp; Structural Storage Risk", TRUE, "")</f>
        <v>Raw Material Stockpile &amp; Runoff Management Risk</v>
      </c>
      <c r="E19" s="6" t="str" cm="1">
        <f t="array" ref="E19">_xlfn.IFS(TRIM(B19)="Sunshine Coast", "Bunded Chemical Storage Inspection &amp; Soil Sample Assay Log", TRIM(B19)="Moreton Bay", "Retention Basin Sediment Level Audit &amp; Stormwater Runoff pH Test", TRIM(B19)="Gold Coast", "Sawmill Blade Guard Integrity Log &amp; Daily Decibel Boundary Check", TRIM(B19)="Ipswich", "Imported Timber Pest Inspection Certificate Validation &amp; Stack Height Metric", TRUE, "")</f>
        <v>Retention Basin Sediment Level Audit &amp; Stormwater Runoff pH Test</v>
      </c>
      <c r="F19" s="6" t="str" cm="1">
        <f t="array" ref="F19">_xlfn.IFS(TRIM(B19)="Sunshine Coast", "100% containment bunding for all timber preservation chemicals and treatment vessels", TRIM(B19)="Moreton Bay", "Install sediment traps to prevent sawdust and organic matter from entering local catchments", TRIM(B19)="Gold Coast", "All operators must use Grade 5 hearing protection and follow strict lock-out/tag-out protocols", TRIM(B19)="Ipswich", "Timber stacks must not exceed 4 meters in height and undergo quarterly borer/termite screening", TRUE, "")</f>
        <v>Install sediment traps to prevent sawdust and organic matter from entering local catchments</v>
      </c>
      <c r="G19" s="6" t="str" cm="1">
        <f t="array" ref="G19">_xlfn.IFS(TRIM(B19)="Sunshine Coast", "DESI Chemical Management Regs / MS Loop Wooden Folder", TRIM(B19)="Moreton Bay", "Water Quality Environmental Protection Policy 2019", TRIM(B19)="Gold Coast", "WorkSafe QLD Sawmilling Guide / Loop WHS Files", TRIM(B19)="Ipswich", "Department of Agriculture and Fisheries Biosecurity Standards", TRUE, "")</f>
        <v>Water Quality Environmental Protection Policy 2019</v>
      </c>
    </row>
    <row r="20" spans="1:7" ht="15" x14ac:dyDescent="0.3">
      <c r="A20" s="3" t="s">
        <v>4</v>
      </c>
      <c r="B20" s="6" t="s">
        <v>43</v>
      </c>
      <c r="C20" s="6" t="str" cm="1">
        <f t="array" ref="C20">_xlfn.IFS(TRIM(B20)="Sunshine Coast","Sunshine Coast Council",TRIM(B20)="Moreton Bay","City of Moreton Bay",TRIM(B20)="Gold Coast","City of Gold Coast",TRIM(B20)="Ipswich","Ipswich City Council",TRUE,"")</f>
        <v>Sunshine Coast Council</v>
      </c>
      <c r="D20" s="6" t="str" cm="1">
        <f t="array" ref="D20">_xlfn.IFS(TRIM(B20)="Sunshine Coast", "Chemical Timber Treatment &amp; Soil Contamination Risk", TRIM(B20)="Moreton Bay", "Raw Material Stockpile &amp; Runoff Management Risk", TRIM(B20)="Gold Coast", "Heavy Mill Machinery WHS &amp; Noise Isolation Risk", TRIM(B20)="Ipswich", "Biosecurity Wood Pest &amp; Structural Storage Risk", TRUE, "")</f>
        <v>Chemical Timber Treatment &amp; Soil Contamination Risk</v>
      </c>
      <c r="E20" s="6" t="str" cm="1">
        <f t="array" ref="E20">_xlfn.IFS(TRIM(B20)="Sunshine Coast", "Bunded Chemical Storage Inspection &amp; Soil Sample Assay Log", TRIM(B20)="Moreton Bay", "Retention Basin Sediment Level Audit &amp; Stormwater Runoff pH Test", TRIM(B20)="Gold Coast", "Sawmill Blade Guard Integrity Log &amp; Daily Decibel Boundary Check", TRIM(B20)="Ipswich", "Imported Timber Pest Inspection Certificate Validation &amp; Stack Height Metric", TRUE, "")</f>
        <v>Bunded Chemical Storage Inspection &amp; Soil Sample Assay Log</v>
      </c>
      <c r="F20" s="6" t="str" cm="1">
        <f t="array" ref="F20">_xlfn.IFS(TRIM(B20)="Sunshine Coast", "100% containment bunding for all timber preservation chemicals and treatment vessels", TRIM(B20)="Moreton Bay", "Install sediment traps to prevent sawdust and organic matter from entering local catchments", TRIM(B20)="Gold Coast", "All operators must use Grade 5 hearing protection and follow strict lock-out/tag-out protocols", TRIM(B20)="Ipswich", "Timber stacks must not exceed 4 meters in height and undergo quarterly borer/termite screening", TRUE, "")</f>
        <v>100% containment bunding for all timber preservation chemicals and treatment vessels</v>
      </c>
      <c r="G20" s="6" t="str" cm="1">
        <f t="array" ref="G20">_xlfn.IFS(TRIM(B20)="Sunshine Coast", "DESI Chemical Management Regs / MS Loop Wooden Folder", TRIM(B20)="Moreton Bay", "Water Quality Environmental Protection Policy 2019", TRIM(B20)="Gold Coast", "WorkSafe QLD Sawmilling Guide / Loop WHS Files", TRIM(B20)="Ipswich", "Department of Agriculture and Fisheries Biosecurity Standards", TRUE, "")</f>
        <v>DESI Chemical Management Regs / MS Loop Wooden Folder</v>
      </c>
    </row>
    <row r="21" spans="1:7" ht="15.6" x14ac:dyDescent="0.3">
      <c r="A21" s="4" t="s">
        <v>33</v>
      </c>
      <c r="B21" s="6" t="s">
        <v>45</v>
      </c>
      <c r="C21" s="6" t="str" cm="1">
        <f t="array" ref="C21">_xlfn.IFS(TRIM(B21)="Sunshine Coast","Sunshine Coast Council",TRIM(B21)="Moreton Bay","City of Moreton Bay",TRIM(B21)="Gold Coast","City of Gold Coast",TRIM(B21)="Ipswich","Ipswich City Council",TRUE,"")</f>
        <v>City of Moreton Bay</v>
      </c>
      <c r="D21" s="6" t="str" cm="1">
        <f t="array" ref="D21">_xlfn.IFS(TRIM(B21)="Sunshine Coast", "Chemical Timber Treatment &amp; Soil Contamination Risk", TRIM(B21)="Moreton Bay", "Raw Material Stockpile &amp; Runoff Management Risk", TRIM(B21)="Gold Coast", "Heavy Mill Machinery WHS &amp; Noise Isolation Risk", TRIM(B21)="Ipswich", "Biosecurity Wood Pest &amp; Structural Storage Risk", TRUE, "")</f>
        <v>Raw Material Stockpile &amp; Runoff Management Risk</v>
      </c>
      <c r="E21" s="6" t="str" cm="1">
        <f t="array" ref="E21">_xlfn.IFS(TRIM(B21)="Sunshine Coast", "Bunded Chemical Storage Inspection &amp; Soil Sample Assay Log", TRIM(B21)="Moreton Bay", "Retention Basin Sediment Level Audit &amp; Stormwater Runoff pH Test", TRIM(B21)="Gold Coast", "Sawmill Blade Guard Integrity Log &amp; Daily Decibel Boundary Check", TRIM(B21)="Ipswich", "Imported Timber Pest Inspection Certificate Validation &amp; Stack Height Metric", TRUE, "")</f>
        <v>Retention Basin Sediment Level Audit &amp; Stormwater Runoff pH Test</v>
      </c>
      <c r="F21" s="6" t="str" cm="1">
        <f t="array" ref="F21">_xlfn.IFS(TRIM(B21)="Sunshine Coast", "100% containment bunding for all timber preservation chemicals and treatment vessels", TRIM(B21)="Moreton Bay", "Install sediment traps to prevent sawdust and organic matter from entering local catchments", TRIM(B21)="Gold Coast", "All operators must use Grade 5 hearing protection and follow strict lock-out/tag-out protocols", TRIM(B21)="Ipswich", "Timber stacks must not exceed 4 meters in height and undergo quarterly borer/termite screening", TRUE, "")</f>
        <v>Install sediment traps to prevent sawdust and organic matter from entering local catchments</v>
      </c>
      <c r="G21" s="6" t="str" cm="1">
        <f t="array" ref="G21">_xlfn.IFS(TRIM(B21)="Sunshine Coast", "DESI Chemical Management Regs / MS Loop Wooden Folder", TRIM(B21)="Moreton Bay", "Water Quality Environmental Protection Policy 2019", TRIM(B21)="Gold Coast", "WorkSafe QLD Sawmilling Guide / Loop WHS Files", TRIM(B21)="Ipswich", "Department of Agriculture and Fisheries Biosecurity Standards", TRUE, "")</f>
        <v>Water Quality Environmental Protection Policy 2019</v>
      </c>
    </row>
    <row r="22" spans="1:7" ht="15.6" x14ac:dyDescent="0.3">
      <c r="A22" s="4" t="s">
        <v>29</v>
      </c>
      <c r="B22" s="6" t="s">
        <v>45</v>
      </c>
      <c r="C22" s="6" t="str" cm="1">
        <f t="array" ref="C22">_xlfn.IFS(TRIM(B22)="Sunshine Coast","Sunshine Coast Council",TRIM(B22)="Moreton Bay","City of Moreton Bay",TRIM(B22)="Gold Coast","City of Gold Coast",TRIM(B22)="Ipswich","Ipswich City Council",TRUE,"")</f>
        <v>City of Moreton Bay</v>
      </c>
      <c r="D22" s="6" t="str" cm="1">
        <f t="array" ref="D22">_xlfn.IFS(TRIM(B22)="Sunshine Coast", "Chemical Timber Treatment &amp; Soil Contamination Risk", TRIM(B22)="Moreton Bay", "Raw Material Stockpile &amp; Runoff Management Risk", TRIM(B22)="Gold Coast", "Heavy Mill Machinery WHS &amp; Noise Isolation Risk", TRIM(B22)="Ipswich", "Biosecurity Wood Pest &amp; Structural Storage Risk", TRUE, "")</f>
        <v>Raw Material Stockpile &amp; Runoff Management Risk</v>
      </c>
      <c r="E22" s="6" t="str" cm="1">
        <f t="array" ref="E22">_xlfn.IFS(TRIM(B22)="Sunshine Coast", "Bunded Chemical Storage Inspection &amp; Soil Sample Assay Log", TRIM(B22)="Moreton Bay", "Retention Basin Sediment Level Audit &amp; Stormwater Runoff pH Test", TRIM(B22)="Gold Coast", "Sawmill Blade Guard Integrity Log &amp; Daily Decibel Boundary Check", TRIM(B22)="Ipswich", "Imported Timber Pest Inspection Certificate Validation &amp; Stack Height Metric", TRUE, "")</f>
        <v>Retention Basin Sediment Level Audit &amp; Stormwater Runoff pH Test</v>
      </c>
      <c r="F22" s="6" t="str" cm="1">
        <f t="array" ref="F22">_xlfn.IFS(TRIM(B22)="Sunshine Coast", "100% containment bunding for all timber preservation chemicals and treatment vessels", TRIM(B22)="Moreton Bay", "Install sediment traps to prevent sawdust and organic matter from entering local catchments", TRIM(B22)="Gold Coast", "All operators must use Grade 5 hearing protection and follow strict lock-out/tag-out protocols", TRIM(B22)="Ipswich", "Timber stacks must not exceed 4 meters in height and undergo quarterly borer/termite screening", TRUE, "")</f>
        <v>Install sediment traps to prevent sawdust and organic matter from entering local catchments</v>
      </c>
      <c r="G22" s="6" t="str" cm="1">
        <f t="array" ref="G22">_xlfn.IFS(TRIM(B22)="Sunshine Coast", "DESI Chemical Management Regs / MS Loop Wooden Folder", TRIM(B22)="Moreton Bay", "Water Quality Environmental Protection Policy 2019", TRIM(B22)="Gold Coast", "WorkSafe QLD Sawmilling Guide / Loop WHS Files", TRIM(B22)="Ipswich", "Department of Agriculture and Fisheries Biosecurity Standards", TRUE, "")</f>
        <v>Water Quality Environmental Protection Policy 2019</v>
      </c>
    </row>
    <row r="23" spans="1:7" ht="15" x14ac:dyDescent="0.3">
      <c r="A23" s="3" t="s">
        <v>8</v>
      </c>
      <c r="B23" s="6" t="s">
        <v>43</v>
      </c>
      <c r="C23" s="6" t="str" cm="1">
        <f t="array" ref="C23">_xlfn.IFS(TRIM(B23)="Sunshine Coast","Sunshine Coast Council",TRIM(B23)="Moreton Bay","City of Moreton Bay",TRIM(B23)="Gold Coast","City of Gold Coast",TRIM(B23)="Ipswich","Ipswich City Council",TRUE,"")</f>
        <v>Sunshine Coast Council</v>
      </c>
      <c r="D23" s="6" t="str" cm="1">
        <f t="array" ref="D23">_xlfn.IFS(TRIM(B23)="Sunshine Coast", "Chemical Timber Treatment &amp; Soil Contamination Risk", TRIM(B23)="Moreton Bay", "Raw Material Stockpile &amp; Runoff Management Risk", TRIM(B23)="Gold Coast", "Heavy Mill Machinery WHS &amp; Noise Isolation Risk", TRIM(B23)="Ipswich", "Biosecurity Wood Pest &amp; Structural Storage Risk", TRUE, "")</f>
        <v>Chemical Timber Treatment &amp; Soil Contamination Risk</v>
      </c>
      <c r="E23" s="6" t="str" cm="1">
        <f t="array" ref="E23">_xlfn.IFS(TRIM(B23)="Sunshine Coast", "Bunded Chemical Storage Inspection &amp; Soil Sample Assay Log", TRIM(B23)="Moreton Bay", "Retention Basin Sediment Level Audit &amp; Stormwater Runoff pH Test", TRIM(B23)="Gold Coast", "Sawmill Blade Guard Integrity Log &amp; Daily Decibel Boundary Check", TRIM(B23)="Ipswich", "Imported Timber Pest Inspection Certificate Validation &amp; Stack Height Metric", TRUE, "")</f>
        <v>Bunded Chemical Storage Inspection &amp; Soil Sample Assay Log</v>
      </c>
      <c r="F23" s="6" t="str" cm="1">
        <f t="array" ref="F23">_xlfn.IFS(TRIM(B23)="Sunshine Coast", "100% containment bunding for all timber preservation chemicals and treatment vessels", TRIM(B23)="Moreton Bay", "Install sediment traps to prevent sawdust and organic matter from entering local catchments", TRIM(B23)="Gold Coast", "All operators must use Grade 5 hearing protection and follow strict lock-out/tag-out protocols", TRIM(B23)="Ipswich", "Timber stacks must not exceed 4 meters in height and undergo quarterly borer/termite screening", TRUE, "")</f>
        <v>100% containment bunding for all timber preservation chemicals and treatment vessels</v>
      </c>
      <c r="G23" s="6" t="str" cm="1">
        <f t="array" ref="G23">_xlfn.IFS(TRIM(B23)="Sunshine Coast", "DESI Chemical Management Regs / MS Loop Wooden Folder", TRIM(B23)="Moreton Bay", "Water Quality Environmental Protection Policy 2019", TRIM(B23)="Gold Coast", "WorkSafe QLD Sawmilling Guide / Loop WHS Files", TRIM(B23)="Ipswich", "Department of Agriculture and Fisheries Biosecurity Standards", TRUE, "")</f>
        <v>DESI Chemical Management Regs / MS Loop Wooden Folder</v>
      </c>
    </row>
    <row r="24" spans="1:7" ht="15.6" x14ac:dyDescent="0.3">
      <c r="A24" s="4" t="s">
        <v>35</v>
      </c>
      <c r="B24" s="6" t="s">
        <v>45</v>
      </c>
      <c r="C24" s="6" t="str" cm="1">
        <f t="array" ref="C24">_xlfn.IFS(TRIM(B24)="Sunshine Coast","Sunshine Coast Council",TRIM(B24)="Moreton Bay","City of Moreton Bay",TRIM(B24)="Gold Coast","City of Gold Coast",TRIM(B24)="Ipswich","Ipswich City Council",TRUE,"")</f>
        <v>City of Moreton Bay</v>
      </c>
      <c r="D24" s="6" t="str" cm="1">
        <f t="array" ref="D24">_xlfn.IFS(TRIM(B24)="Sunshine Coast", "Chemical Timber Treatment &amp; Soil Contamination Risk", TRIM(B24)="Moreton Bay", "Raw Material Stockpile &amp; Runoff Management Risk", TRIM(B24)="Gold Coast", "Heavy Mill Machinery WHS &amp; Noise Isolation Risk", TRIM(B24)="Ipswich", "Biosecurity Wood Pest &amp; Structural Storage Risk", TRUE, "")</f>
        <v>Raw Material Stockpile &amp; Runoff Management Risk</v>
      </c>
      <c r="E24" s="6" t="str" cm="1">
        <f t="array" ref="E24">_xlfn.IFS(TRIM(B24)="Sunshine Coast", "Bunded Chemical Storage Inspection &amp; Soil Sample Assay Log", TRIM(B24)="Moreton Bay", "Retention Basin Sediment Level Audit &amp; Stormwater Runoff pH Test", TRIM(B24)="Gold Coast", "Sawmill Blade Guard Integrity Log &amp; Daily Decibel Boundary Check", TRIM(B24)="Ipswich", "Imported Timber Pest Inspection Certificate Validation &amp; Stack Height Metric", TRUE, "")</f>
        <v>Retention Basin Sediment Level Audit &amp; Stormwater Runoff pH Test</v>
      </c>
      <c r="F24" s="6" t="str" cm="1">
        <f t="array" ref="F24">_xlfn.IFS(TRIM(B24)="Sunshine Coast", "100% containment bunding for all timber preservation chemicals and treatment vessels", TRIM(B24)="Moreton Bay", "Install sediment traps to prevent sawdust and organic matter from entering local catchments", TRIM(B24)="Gold Coast", "All operators must use Grade 5 hearing protection and follow strict lock-out/tag-out protocols", TRIM(B24)="Ipswich", "Timber stacks must not exceed 4 meters in height and undergo quarterly borer/termite screening", TRUE, "")</f>
        <v>Install sediment traps to prevent sawdust and organic matter from entering local catchments</v>
      </c>
      <c r="G24" s="6" t="str" cm="1">
        <f t="array" ref="G24">_xlfn.IFS(TRIM(B24)="Sunshine Coast", "DESI Chemical Management Regs / MS Loop Wooden Folder", TRIM(B24)="Moreton Bay", "Water Quality Environmental Protection Policy 2019", TRIM(B24)="Gold Coast", "WorkSafe QLD Sawmilling Guide / Loop WHS Files", TRIM(B24)="Ipswich", "Department of Agriculture and Fisheries Biosecurity Standards", TRUE, "")</f>
        <v>Water Quality Environmental Protection Policy 2019</v>
      </c>
    </row>
    <row r="25" spans="1:7" ht="15.6" x14ac:dyDescent="0.3">
      <c r="A25" s="4" t="s">
        <v>22</v>
      </c>
      <c r="B25" s="6" t="s">
        <v>44</v>
      </c>
      <c r="C25" s="6" t="str" cm="1">
        <f t="array" ref="C25">_xlfn.IFS(TRIM(B25)="Sunshine Coast","Sunshine Coast Council",TRIM(B25)="Moreton Bay","City of Moreton Bay",TRIM(B25)="Gold Coast","City of Gold Coast",TRIM(B25)="Ipswich","Ipswich City Council",TRUE,"")</f>
        <v>City of Gold Coast</v>
      </c>
      <c r="D25" s="6" t="str" cm="1">
        <f t="array" ref="D25">_xlfn.IFS(TRIM(B25)="Sunshine Coast", "Chemical Timber Treatment &amp; Soil Contamination Risk", TRIM(B25)="Moreton Bay", "Raw Material Stockpile &amp; Runoff Management Risk", TRIM(B25)="Gold Coast", "Heavy Mill Machinery WHS &amp; Noise Isolation Risk", TRIM(B25)="Ipswich", "Biosecurity Wood Pest &amp; Structural Storage Risk", TRUE, "")</f>
        <v>Heavy Mill Machinery WHS &amp; Noise Isolation Risk</v>
      </c>
      <c r="E25" s="6" t="str" cm="1">
        <f t="array" ref="E25">_xlfn.IFS(TRIM(B25)="Sunshine Coast", "Bunded Chemical Storage Inspection &amp; Soil Sample Assay Log", TRIM(B25)="Moreton Bay", "Retention Basin Sediment Level Audit &amp; Stormwater Runoff pH Test", TRIM(B25)="Gold Coast", "Sawmill Blade Guard Integrity Log &amp; Daily Decibel Boundary Check", TRIM(B25)="Ipswich", "Imported Timber Pest Inspection Certificate Validation &amp; Stack Height Metric", TRUE, "")</f>
        <v>Sawmill Blade Guard Integrity Log &amp; Daily Decibel Boundary Check</v>
      </c>
      <c r="F25" s="6" t="str" cm="1">
        <f t="array" ref="F25">_xlfn.IFS(TRIM(B25)="Sunshine Coast", "100% containment bunding for all timber preservation chemicals and treatment vessels", TRIM(B25)="Moreton Bay", "Install sediment traps to prevent sawdust and organic matter from entering local catchments", TRIM(B25)="Gold Coast", "All operators must use Grade 5 hearing protection and follow strict lock-out/tag-out protocols", TRIM(B25)="Ipswich", "Timber stacks must not exceed 4 meters in height and undergo quarterly borer/termite screening", TRUE, "")</f>
        <v>All operators must use Grade 5 hearing protection and follow strict lock-out/tag-out protocols</v>
      </c>
      <c r="G25" s="6" t="str" cm="1">
        <f t="array" ref="G25">_xlfn.IFS(TRIM(B25)="Sunshine Coast", "DESI Chemical Management Regs / MS Loop Wooden Folder", TRIM(B25)="Moreton Bay", "Water Quality Environmental Protection Policy 2019", TRIM(B25)="Gold Coast", "WorkSafe QLD Sawmilling Guide / Loop WHS Files", TRIM(B25)="Ipswich", "Department of Agriculture and Fisheries Biosecurity Standards", TRUE, "")</f>
        <v>WorkSafe QLD Sawmilling Guide / Loop WHS Files</v>
      </c>
    </row>
    <row r="26" spans="1:7" ht="15.6" x14ac:dyDescent="0.3">
      <c r="A26" s="4" t="s">
        <v>17</v>
      </c>
      <c r="B26" s="6" t="s">
        <v>44</v>
      </c>
      <c r="C26" s="6" t="str" cm="1">
        <f t="array" ref="C26">_xlfn.IFS(TRIM(B26)="Sunshine Coast","Sunshine Coast Council",TRIM(B26)="Moreton Bay","City of Moreton Bay",TRIM(B26)="Gold Coast","City of Gold Coast",TRIM(B26)="Ipswich","Ipswich City Council",TRUE,"")</f>
        <v>City of Gold Coast</v>
      </c>
      <c r="D26" s="6" t="str" cm="1">
        <f t="array" ref="D26">_xlfn.IFS(TRIM(B26)="Sunshine Coast", "Chemical Timber Treatment &amp; Soil Contamination Risk", TRIM(B26)="Moreton Bay", "Raw Material Stockpile &amp; Runoff Management Risk", TRIM(B26)="Gold Coast", "Heavy Mill Machinery WHS &amp; Noise Isolation Risk", TRIM(B26)="Ipswich", "Biosecurity Wood Pest &amp; Structural Storage Risk", TRUE, "")</f>
        <v>Heavy Mill Machinery WHS &amp; Noise Isolation Risk</v>
      </c>
      <c r="E26" s="6" t="str" cm="1">
        <f t="array" ref="E26">_xlfn.IFS(TRIM(B26)="Sunshine Coast", "Bunded Chemical Storage Inspection &amp; Soil Sample Assay Log", TRIM(B26)="Moreton Bay", "Retention Basin Sediment Level Audit &amp; Stormwater Runoff pH Test", TRIM(B26)="Gold Coast", "Sawmill Blade Guard Integrity Log &amp; Daily Decibel Boundary Check", TRIM(B26)="Ipswich", "Imported Timber Pest Inspection Certificate Validation &amp; Stack Height Metric", TRUE, "")</f>
        <v>Sawmill Blade Guard Integrity Log &amp; Daily Decibel Boundary Check</v>
      </c>
      <c r="F26" s="6" t="str" cm="1">
        <f t="array" ref="F26">_xlfn.IFS(TRIM(B26)="Sunshine Coast", "100% containment bunding for all timber preservation chemicals and treatment vessels", TRIM(B26)="Moreton Bay", "Install sediment traps to prevent sawdust and organic matter from entering local catchments", TRIM(B26)="Gold Coast", "All operators must use Grade 5 hearing protection and follow strict lock-out/tag-out protocols", TRIM(B26)="Ipswich", "Timber stacks must not exceed 4 meters in height and undergo quarterly borer/termite screening", TRUE, "")</f>
        <v>All operators must use Grade 5 hearing protection and follow strict lock-out/tag-out protocols</v>
      </c>
      <c r="G26" s="6" t="str" cm="1">
        <f t="array" ref="G26">_xlfn.IFS(TRIM(B26)="Sunshine Coast", "DESI Chemical Management Regs / MS Loop Wooden Folder", TRIM(B26)="Moreton Bay", "Water Quality Environmental Protection Policy 2019", TRIM(B26)="Gold Coast", "WorkSafe QLD Sawmilling Guide / Loop WHS Files", TRIM(B26)="Ipswich", "Department of Agriculture and Fisheries Biosecurity Standards", TRUE, "")</f>
        <v>WorkSafe QLD Sawmilling Guide / Loop WHS Files</v>
      </c>
    </row>
    <row r="27" spans="1:7" ht="15" x14ac:dyDescent="0.3">
      <c r="A27" s="3" t="s">
        <v>6</v>
      </c>
      <c r="B27" s="6" t="s">
        <v>43</v>
      </c>
      <c r="C27" s="6" t="str" cm="1">
        <f t="array" ref="C27">_xlfn.IFS(TRIM(B27)="Sunshine Coast","Sunshine Coast Council",TRIM(B27)="Moreton Bay","City of Moreton Bay",TRIM(B27)="Gold Coast","City of Gold Coast",TRIM(B27)="Ipswich","Ipswich City Council",TRUE,"")</f>
        <v>Sunshine Coast Council</v>
      </c>
      <c r="D27" s="6" t="str" cm="1">
        <f t="array" ref="D27">_xlfn.IFS(TRIM(B27)="Sunshine Coast", "Chemical Timber Treatment &amp; Soil Contamination Risk", TRIM(B27)="Moreton Bay", "Raw Material Stockpile &amp; Runoff Management Risk", TRIM(B27)="Gold Coast", "Heavy Mill Machinery WHS &amp; Noise Isolation Risk", TRIM(B27)="Ipswich", "Biosecurity Wood Pest &amp; Structural Storage Risk", TRUE, "")</f>
        <v>Chemical Timber Treatment &amp; Soil Contamination Risk</v>
      </c>
      <c r="E27" s="6" t="str" cm="1">
        <f t="array" ref="E27">_xlfn.IFS(TRIM(B27)="Sunshine Coast", "Bunded Chemical Storage Inspection &amp; Soil Sample Assay Log", TRIM(B27)="Moreton Bay", "Retention Basin Sediment Level Audit &amp; Stormwater Runoff pH Test", TRIM(B27)="Gold Coast", "Sawmill Blade Guard Integrity Log &amp; Daily Decibel Boundary Check", TRIM(B27)="Ipswich", "Imported Timber Pest Inspection Certificate Validation &amp; Stack Height Metric", TRUE, "")</f>
        <v>Bunded Chemical Storage Inspection &amp; Soil Sample Assay Log</v>
      </c>
      <c r="F27" s="6" t="str" cm="1">
        <f t="array" ref="F27">_xlfn.IFS(TRIM(B27)="Sunshine Coast", "100% containment bunding for all timber preservation chemicals and treatment vessels", TRIM(B27)="Moreton Bay", "Install sediment traps to prevent sawdust and organic matter from entering local catchments", TRIM(B27)="Gold Coast", "All operators must use Grade 5 hearing protection and follow strict lock-out/tag-out protocols", TRIM(B27)="Ipswich", "Timber stacks must not exceed 4 meters in height and undergo quarterly borer/termite screening", TRUE, "")</f>
        <v>100% containment bunding for all timber preservation chemicals and treatment vessels</v>
      </c>
      <c r="G27" s="6" t="str" cm="1">
        <f t="array" ref="G27">_xlfn.IFS(TRIM(B27)="Sunshine Coast", "DESI Chemical Management Regs / MS Loop Wooden Folder", TRIM(B27)="Moreton Bay", "Water Quality Environmental Protection Policy 2019", TRIM(B27)="Gold Coast", "WorkSafe QLD Sawmilling Guide / Loop WHS Files", TRIM(B27)="Ipswich", "Department of Agriculture and Fisheries Biosecurity Standards", TRUE, "")</f>
        <v>DESI Chemical Management Regs / MS Loop Wooden Folder</v>
      </c>
    </row>
    <row r="28" spans="1:7" ht="15.6" x14ac:dyDescent="0.3">
      <c r="A28" s="4" t="s">
        <v>31</v>
      </c>
      <c r="B28" s="6" t="s">
        <v>45</v>
      </c>
      <c r="C28" s="6" t="str" cm="1">
        <f t="array" ref="C28">_xlfn.IFS(TRIM(B28)="Sunshine Coast","Sunshine Coast Council",TRIM(B28)="Moreton Bay","City of Moreton Bay",TRIM(B28)="Gold Coast","City of Gold Coast",TRIM(B28)="Ipswich","Ipswich City Council",TRUE,"")</f>
        <v>City of Moreton Bay</v>
      </c>
      <c r="D28" s="6" t="str" cm="1">
        <f t="array" ref="D28">_xlfn.IFS(TRIM(B28)="Sunshine Coast", "Chemical Timber Treatment &amp; Soil Contamination Risk", TRIM(B28)="Moreton Bay", "Raw Material Stockpile &amp; Runoff Management Risk", TRIM(B28)="Gold Coast", "Heavy Mill Machinery WHS &amp; Noise Isolation Risk", TRIM(B28)="Ipswich", "Biosecurity Wood Pest &amp; Structural Storage Risk", TRUE, "")</f>
        <v>Raw Material Stockpile &amp; Runoff Management Risk</v>
      </c>
      <c r="E28" s="6" t="str" cm="1">
        <f t="array" ref="E28">_xlfn.IFS(TRIM(B28)="Sunshine Coast", "Bunded Chemical Storage Inspection &amp; Soil Sample Assay Log", TRIM(B28)="Moreton Bay", "Retention Basin Sediment Level Audit &amp; Stormwater Runoff pH Test", TRIM(B28)="Gold Coast", "Sawmill Blade Guard Integrity Log &amp; Daily Decibel Boundary Check", TRIM(B28)="Ipswich", "Imported Timber Pest Inspection Certificate Validation &amp; Stack Height Metric", TRUE, "")</f>
        <v>Retention Basin Sediment Level Audit &amp; Stormwater Runoff pH Test</v>
      </c>
      <c r="F28" s="6" t="str" cm="1">
        <f t="array" ref="F28">_xlfn.IFS(TRIM(B28)="Sunshine Coast", "100% containment bunding for all timber preservation chemicals and treatment vessels", TRIM(B28)="Moreton Bay", "Install sediment traps to prevent sawdust and organic matter from entering local catchments", TRIM(B28)="Gold Coast", "All operators must use Grade 5 hearing protection and follow strict lock-out/tag-out protocols", TRIM(B28)="Ipswich", "Timber stacks must not exceed 4 meters in height and undergo quarterly borer/termite screening", TRUE, "")</f>
        <v>Install sediment traps to prevent sawdust and organic matter from entering local catchments</v>
      </c>
      <c r="G28" s="6" t="str" cm="1">
        <f t="array" ref="G28">_xlfn.IFS(TRIM(B28)="Sunshine Coast", "DESI Chemical Management Regs / MS Loop Wooden Folder", TRIM(B28)="Moreton Bay", "Water Quality Environmental Protection Policy 2019", TRIM(B28)="Gold Coast", "WorkSafe QLD Sawmilling Guide / Loop WHS Files", TRIM(B28)="Ipswich", "Department of Agriculture and Fisheries Biosecurity Standards", TRUE, "")</f>
        <v>Water Quality Environmental Protection Policy 2019</v>
      </c>
    </row>
    <row r="29" spans="1:7" ht="15.6" x14ac:dyDescent="0.3">
      <c r="A29" s="4" t="s">
        <v>18</v>
      </c>
      <c r="B29" s="6" t="s">
        <v>44</v>
      </c>
      <c r="C29" s="6" t="str" cm="1">
        <f t="array" ref="C29">_xlfn.IFS(TRIM(B29)="Sunshine Coast","Sunshine Coast Council",TRIM(B29)="Moreton Bay","City of Moreton Bay",TRIM(B29)="Gold Coast","City of Gold Coast",TRIM(B29)="Ipswich","Ipswich City Council",TRUE,"")</f>
        <v>City of Gold Coast</v>
      </c>
      <c r="D29" s="6" t="str" cm="1">
        <f t="array" ref="D29">_xlfn.IFS(TRIM(B29)="Sunshine Coast", "Chemical Timber Treatment &amp; Soil Contamination Risk", TRIM(B29)="Moreton Bay", "Raw Material Stockpile &amp; Runoff Management Risk", TRIM(B29)="Gold Coast", "Heavy Mill Machinery WHS &amp; Noise Isolation Risk", TRIM(B29)="Ipswich", "Biosecurity Wood Pest &amp; Structural Storage Risk", TRUE, "")</f>
        <v>Heavy Mill Machinery WHS &amp; Noise Isolation Risk</v>
      </c>
      <c r="E29" s="6" t="str" cm="1">
        <f t="array" ref="E29">_xlfn.IFS(TRIM(B29)="Sunshine Coast", "Bunded Chemical Storage Inspection &amp; Soil Sample Assay Log", TRIM(B29)="Moreton Bay", "Retention Basin Sediment Level Audit &amp; Stormwater Runoff pH Test", TRIM(B29)="Gold Coast", "Sawmill Blade Guard Integrity Log &amp; Daily Decibel Boundary Check", TRIM(B29)="Ipswich", "Imported Timber Pest Inspection Certificate Validation &amp; Stack Height Metric", TRUE, "")</f>
        <v>Sawmill Blade Guard Integrity Log &amp; Daily Decibel Boundary Check</v>
      </c>
      <c r="F29" s="6" t="str" cm="1">
        <f t="array" ref="F29">_xlfn.IFS(TRIM(B29)="Sunshine Coast", "100% containment bunding for all timber preservation chemicals and treatment vessels", TRIM(B29)="Moreton Bay", "Install sediment traps to prevent sawdust and organic matter from entering local catchments", TRIM(B29)="Gold Coast", "All operators must use Grade 5 hearing protection and follow strict lock-out/tag-out protocols", TRIM(B29)="Ipswich", "Timber stacks must not exceed 4 meters in height and undergo quarterly borer/termite screening", TRUE, "")</f>
        <v>All operators must use Grade 5 hearing protection and follow strict lock-out/tag-out protocols</v>
      </c>
      <c r="G29" s="6" t="str" cm="1">
        <f t="array" ref="G29">_xlfn.IFS(TRIM(B29)="Sunshine Coast", "DESI Chemical Management Regs / MS Loop Wooden Folder", TRIM(B29)="Moreton Bay", "Water Quality Environmental Protection Policy 2019", TRIM(B29)="Gold Coast", "WorkSafe QLD Sawmilling Guide / Loop WHS Files", TRIM(B29)="Ipswich", "Department of Agriculture and Fisheries Biosecurity Standards", TRUE, "")</f>
        <v>WorkSafe QLD Sawmilling Guide / Loop WHS Files</v>
      </c>
    </row>
    <row r="30" spans="1:7" ht="15.6" x14ac:dyDescent="0.3">
      <c r="A30" s="4" t="s">
        <v>37</v>
      </c>
      <c r="B30" s="6" t="s">
        <v>38</v>
      </c>
      <c r="C30" s="6" t="str" cm="1">
        <f t="array" ref="C30">_xlfn.IFS(TRIM(B30)="Sunshine Coast","Sunshine Coast Council",TRIM(B30)="Moreton Bay","City of Moreton Bay",TRIM(B30)="Gold Coast","City of Gold Coast",TRIM(B30)="Ipswich","Ipswich City Council",TRUE,"")</f>
        <v>Ipswich City Council</v>
      </c>
      <c r="D30" s="6" t="str" cm="1">
        <f t="array" ref="D30">_xlfn.IFS(TRIM(B30)="Sunshine Coast", "Chemical Timber Treatment &amp; Soil Contamination Risk", TRIM(B30)="Moreton Bay", "Raw Material Stockpile &amp; Runoff Management Risk", TRIM(B30)="Gold Coast", "Heavy Mill Machinery WHS &amp; Noise Isolation Risk", TRIM(B30)="Ipswich", "Biosecurity Wood Pest &amp; Structural Storage Risk", TRUE, "")</f>
        <v>Biosecurity Wood Pest &amp; Structural Storage Risk</v>
      </c>
      <c r="E30" s="6" t="str" cm="1">
        <f t="array" ref="E30">_xlfn.IFS(TRIM(B30)="Sunshine Coast", "Bunded Chemical Storage Inspection &amp; Soil Sample Assay Log", TRIM(B30)="Moreton Bay", "Retention Basin Sediment Level Audit &amp; Stormwater Runoff pH Test", TRIM(B30)="Gold Coast", "Sawmill Blade Guard Integrity Log &amp; Daily Decibel Boundary Check", TRIM(B30)="Ipswich", "Imported Timber Pest Inspection Certificate Validation &amp; Stack Height Metric", TRUE, "")</f>
        <v>Imported Timber Pest Inspection Certificate Validation &amp; Stack Height Metric</v>
      </c>
      <c r="F30" s="6" t="str" cm="1">
        <f t="array" ref="F30">_xlfn.IFS(TRIM(B30)="Sunshine Coast", "100% containment bunding for all timber preservation chemicals and treatment vessels", TRIM(B30)="Moreton Bay", "Install sediment traps to prevent sawdust and organic matter from entering local catchments", TRIM(B30)="Gold Coast", "All operators must use Grade 5 hearing protection and follow strict lock-out/tag-out protocols", TRIM(B30)="Ipswich", "Timber stacks must not exceed 4 meters in height and undergo quarterly borer/termite screening", TRUE, "")</f>
        <v>Timber stacks must not exceed 4 meters in height and undergo quarterly borer/termite screening</v>
      </c>
      <c r="G30" s="6" t="str" cm="1">
        <f t="array" ref="G30">_xlfn.IFS(TRIM(B30)="Sunshine Coast", "DESI Chemical Management Regs / MS Loop Wooden Folder", TRIM(B30)="Moreton Bay", "Water Quality Environmental Protection Policy 2019", TRIM(B30)="Gold Coast", "WorkSafe QLD Sawmilling Guide / Loop WHS Files", TRIM(B30)="Ipswich", "Department of Agriculture and Fisheries Biosecurity Standards", TRUE, "")</f>
        <v>Department of Agriculture and Fisheries Biosecurity Standards</v>
      </c>
    </row>
    <row r="31" spans="1:7" ht="15.6" x14ac:dyDescent="0.3">
      <c r="A31" s="4" t="s">
        <v>23</v>
      </c>
      <c r="B31" s="6" t="s">
        <v>44</v>
      </c>
      <c r="C31" s="6" t="str" cm="1">
        <f t="array" ref="C31">_xlfn.IFS(TRIM(B31)="Sunshine Coast","Sunshine Coast Council",TRIM(B31)="Moreton Bay","City of Moreton Bay",TRIM(B31)="Gold Coast","City of Gold Coast",TRIM(B31)="Ipswich","Ipswich City Council",TRUE,"")</f>
        <v>City of Gold Coast</v>
      </c>
      <c r="D31" s="6" t="str" cm="1">
        <f t="array" ref="D31">_xlfn.IFS(TRIM(B31)="Sunshine Coast", "Chemical Timber Treatment &amp; Soil Contamination Risk", TRIM(B31)="Moreton Bay", "Raw Material Stockpile &amp; Runoff Management Risk", TRIM(B31)="Gold Coast", "Heavy Mill Machinery WHS &amp; Noise Isolation Risk", TRIM(B31)="Ipswich", "Biosecurity Wood Pest &amp; Structural Storage Risk", TRUE, "")</f>
        <v>Heavy Mill Machinery WHS &amp; Noise Isolation Risk</v>
      </c>
      <c r="E31" s="6" t="str" cm="1">
        <f t="array" ref="E31">_xlfn.IFS(TRIM(B31)="Sunshine Coast", "Bunded Chemical Storage Inspection &amp; Soil Sample Assay Log", TRIM(B31)="Moreton Bay", "Retention Basin Sediment Level Audit &amp; Stormwater Runoff pH Test", TRIM(B31)="Gold Coast", "Sawmill Blade Guard Integrity Log &amp; Daily Decibel Boundary Check", TRIM(B31)="Ipswich", "Imported Timber Pest Inspection Certificate Validation &amp; Stack Height Metric", TRUE, "")</f>
        <v>Sawmill Blade Guard Integrity Log &amp; Daily Decibel Boundary Check</v>
      </c>
      <c r="F31" s="6" t="str" cm="1">
        <f t="array" ref="F31">_xlfn.IFS(TRIM(B31)="Sunshine Coast", "100% containment bunding for all timber preservation chemicals and treatment vessels", TRIM(B31)="Moreton Bay", "Install sediment traps to prevent sawdust and organic matter from entering local catchments", TRIM(B31)="Gold Coast", "All operators must use Grade 5 hearing protection and follow strict lock-out/tag-out protocols", TRIM(B31)="Ipswich", "Timber stacks must not exceed 4 meters in height and undergo quarterly borer/termite screening", TRUE, "")</f>
        <v>All operators must use Grade 5 hearing protection and follow strict lock-out/tag-out protocols</v>
      </c>
      <c r="G31" s="6" t="str" cm="1">
        <f t="array" ref="G31">_xlfn.IFS(TRIM(B31)="Sunshine Coast", "DESI Chemical Management Regs / MS Loop Wooden Folder", TRIM(B31)="Moreton Bay", "Water Quality Environmental Protection Policy 2019", TRIM(B31)="Gold Coast", "WorkSafe QLD Sawmilling Guide / Loop WHS Files", TRIM(B31)="Ipswich", "Department of Agriculture and Fisheries Biosecurity Standards", TRUE, "")</f>
        <v>WorkSafe QLD Sawmilling Guide / Loop WHS Files</v>
      </c>
    </row>
    <row r="32" spans="1:7" ht="15.6" x14ac:dyDescent="0.3">
      <c r="A32" s="4" t="s">
        <v>39</v>
      </c>
      <c r="B32" s="6" t="s">
        <v>38</v>
      </c>
      <c r="C32" s="6" t="str" cm="1">
        <f t="array" ref="C32">_xlfn.IFS(TRIM(B32)="Sunshine Coast","Sunshine Coast Council",TRIM(B32)="Moreton Bay","City of Moreton Bay",TRIM(B32)="Gold Coast","City of Gold Coast",TRIM(B32)="Ipswich","Ipswich City Council",TRUE,"")</f>
        <v>Ipswich City Council</v>
      </c>
      <c r="D32" s="6" t="str" cm="1">
        <f t="array" ref="D32">_xlfn.IFS(TRIM(B32)="Sunshine Coast", "Chemical Timber Treatment &amp; Soil Contamination Risk", TRIM(B32)="Moreton Bay", "Raw Material Stockpile &amp; Runoff Management Risk", TRIM(B32)="Gold Coast", "Heavy Mill Machinery WHS &amp; Noise Isolation Risk", TRIM(B32)="Ipswich", "Biosecurity Wood Pest &amp; Structural Storage Risk", TRUE, "")</f>
        <v>Biosecurity Wood Pest &amp; Structural Storage Risk</v>
      </c>
      <c r="E32" s="6" t="str" cm="1">
        <f t="array" ref="E32">_xlfn.IFS(TRIM(B32)="Sunshine Coast", "Bunded Chemical Storage Inspection &amp; Soil Sample Assay Log", TRIM(B32)="Moreton Bay", "Retention Basin Sediment Level Audit &amp; Stormwater Runoff pH Test", TRIM(B32)="Gold Coast", "Sawmill Blade Guard Integrity Log &amp; Daily Decibel Boundary Check", TRIM(B32)="Ipswich", "Imported Timber Pest Inspection Certificate Validation &amp; Stack Height Metric", TRUE, "")</f>
        <v>Imported Timber Pest Inspection Certificate Validation &amp; Stack Height Metric</v>
      </c>
      <c r="F32" s="6" t="str" cm="1">
        <f t="array" ref="F32">_xlfn.IFS(TRIM(B32)="Sunshine Coast", "100% containment bunding for all timber preservation chemicals and treatment vessels", TRIM(B32)="Moreton Bay", "Install sediment traps to prevent sawdust and organic matter from entering local catchments", TRIM(B32)="Gold Coast", "All operators must use Grade 5 hearing protection and follow strict lock-out/tag-out protocols", TRIM(B32)="Ipswich", "Timber stacks must not exceed 4 meters in height and undergo quarterly borer/termite screening", TRUE, "")</f>
        <v>Timber stacks must not exceed 4 meters in height and undergo quarterly borer/termite screening</v>
      </c>
      <c r="G32" s="6" t="str" cm="1">
        <f t="array" ref="G32">_xlfn.IFS(TRIM(B32)="Sunshine Coast", "DESI Chemical Management Regs / MS Loop Wooden Folder", TRIM(B32)="Moreton Bay", "Water Quality Environmental Protection Policy 2019", TRIM(B32)="Gold Coast", "WorkSafe QLD Sawmilling Guide / Loop WHS Files", TRIM(B32)="Ipswich", "Department of Agriculture and Fisheries Biosecurity Standards", TRUE, "")</f>
        <v>Department of Agriculture and Fisheries Biosecurity Standards</v>
      </c>
    </row>
    <row r="33" spans="1:7" ht="15.6" x14ac:dyDescent="0.3">
      <c r="A33" s="4" t="s">
        <v>26</v>
      </c>
      <c r="B33" s="6" t="s">
        <v>45</v>
      </c>
      <c r="C33" s="6" t="str" cm="1">
        <f t="array" ref="C33">_xlfn.IFS(TRIM(B33)="Sunshine Coast","Sunshine Coast Council",TRIM(B33)="Moreton Bay","City of Moreton Bay",TRIM(B33)="Gold Coast","City of Gold Coast",TRIM(B33)="Ipswich","Ipswich City Council",TRUE,"")</f>
        <v>City of Moreton Bay</v>
      </c>
      <c r="D33" s="6" t="str" cm="1">
        <f t="array" ref="D33">_xlfn.IFS(TRIM(B33)="Sunshine Coast", "Chemical Timber Treatment &amp; Soil Contamination Risk", TRIM(B33)="Moreton Bay", "Raw Material Stockpile &amp; Runoff Management Risk", TRIM(B33)="Gold Coast", "Heavy Mill Machinery WHS &amp; Noise Isolation Risk", TRIM(B33)="Ipswich", "Biosecurity Wood Pest &amp; Structural Storage Risk", TRUE, "")</f>
        <v>Raw Material Stockpile &amp; Runoff Management Risk</v>
      </c>
      <c r="E33" s="6" t="str" cm="1">
        <f t="array" ref="E33">_xlfn.IFS(TRIM(B33)="Sunshine Coast", "Bunded Chemical Storage Inspection &amp; Soil Sample Assay Log", TRIM(B33)="Moreton Bay", "Retention Basin Sediment Level Audit &amp; Stormwater Runoff pH Test", TRIM(B33)="Gold Coast", "Sawmill Blade Guard Integrity Log &amp; Daily Decibel Boundary Check", TRIM(B33)="Ipswich", "Imported Timber Pest Inspection Certificate Validation &amp; Stack Height Metric", TRUE, "")</f>
        <v>Retention Basin Sediment Level Audit &amp; Stormwater Runoff pH Test</v>
      </c>
      <c r="F33" s="6" t="str" cm="1">
        <f t="array" ref="F33">_xlfn.IFS(TRIM(B33)="Sunshine Coast", "100% containment bunding for all timber preservation chemicals and treatment vessels", TRIM(B33)="Moreton Bay", "Install sediment traps to prevent sawdust and organic matter from entering local catchments", TRIM(B33)="Gold Coast", "All operators must use Grade 5 hearing protection and follow strict lock-out/tag-out protocols", TRIM(B33)="Ipswich", "Timber stacks must not exceed 4 meters in height and undergo quarterly borer/termite screening", TRUE, "")</f>
        <v>Install sediment traps to prevent sawdust and organic matter from entering local catchments</v>
      </c>
      <c r="G33" s="6" t="str" cm="1">
        <f t="array" ref="G33">_xlfn.IFS(TRIM(B33)="Sunshine Coast", "DESI Chemical Management Regs / MS Loop Wooden Folder", TRIM(B33)="Moreton Bay", "Water Quality Environmental Protection Policy 2019", TRIM(B33)="Gold Coast", "WorkSafe QLD Sawmilling Guide / Loop WHS Files", TRIM(B33)="Ipswich", "Department of Agriculture and Fisheries Biosecurity Standards", TRUE, "")</f>
        <v>Water Quality Environmental Protection Policy 2019</v>
      </c>
    </row>
    <row r="34" spans="1:7" ht="15.6" x14ac:dyDescent="0.3">
      <c r="A34" s="4" t="s">
        <v>41</v>
      </c>
      <c r="B34" s="6" t="s">
        <v>38</v>
      </c>
      <c r="C34" s="6" t="str" cm="1">
        <f t="array" ref="C34">_xlfn.IFS(TRIM(B34)="Sunshine Coast","Sunshine Coast Council",TRIM(B34)="Moreton Bay","City of Moreton Bay",TRIM(B34)="Gold Coast","City of Gold Coast",TRIM(B34)="Ipswich","Ipswich City Council",TRUE,"")</f>
        <v>Ipswich City Council</v>
      </c>
      <c r="D34" s="6" t="str" cm="1">
        <f t="array" ref="D34">_xlfn.IFS(TRIM(B34)="Sunshine Coast", "Chemical Timber Treatment &amp; Soil Contamination Risk", TRIM(B34)="Moreton Bay", "Raw Material Stockpile &amp; Runoff Management Risk", TRIM(B34)="Gold Coast", "Heavy Mill Machinery WHS &amp; Noise Isolation Risk", TRIM(B34)="Ipswich", "Biosecurity Wood Pest &amp; Structural Storage Risk", TRUE, "")</f>
        <v>Biosecurity Wood Pest &amp; Structural Storage Risk</v>
      </c>
      <c r="E34" s="6" t="str" cm="1">
        <f t="array" ref="E34">_xlfn.IFS(TRIM(B34)="Sunshine Coast", "Bunded Chemical Storage Inspection &amp; Soil Sample Assay Log", TRIM(B34)="Moreton Bay", "Retention Basin Sediment Level Audit &amp; Stormwater Runoff pH Test", TRIM(B34)="Gold Coast", "Sawmill Blade Guard Integrity Log &amp; Daily Decibel Boundary Check", TRIM(B34)="Ipswich", "Imported Timber Pest Inspection Certificate Validation &amp; Stack Height Metric", TRUE, "")</f>
        <v>Imported Timber Pest Inspection Certificate Validation &amp; Stack Height Metric</v>
      </c>
      <c r="F34" s="6" t="str" cm="1">
        <f t="array" ref="F34">_xlfn.IFS(TRIM(B34)="Sunshine Coast", "100% containment bunding for all timber preservation chemicals and treatment vessels", TRIM(B34)="Moreton Bay", "Install sediment traps to prevent sawdust and organic matter from entering local catchments", TRIM(B34)="Gold Coast", "All operators must use Grade 5 hearing protection and follow strict lock-out/tag-out protocols", TRIM(B34)="Ipswich", "Timber stacks must not exceed 4 meters in height and undergo quarterly borer/termite screening", TRUE, "")</f>
        <v>Timber stacks must not exceed 4 meters in height and undergo quarterly borer/termite screening</v>
      </c>
      <c r="G34" s="6" t="str" cm="1">
        <f t="array" ref="G34">_xlfn.IFS(TRIM(B34)="Sunshine Coast", "DESI Chemical Management Regs / MS Loop Wooden Folder", TRIM(B34)="Moreton Bay", "Water Quality Environmental Protection Policy 2019", TRIM(B34)="Gold Coast", "WorkSafe QLD Sawmilling Guide / Loop WHS Files", TRIM(B34)="Ipswich", "Department of Agriculture and Fisheries Biosecurity Standards", TRUE, "")</f>
        <v>Department of Agriculture and Fisheries Biosecurity Standards</v>
      </c>
    </row>
    <row r="35" spans="1:7" ht="15.6" x14ac:dyDescent="0.3">
      <c r="A35" s="4" t="s">
        <v>42</v>
      </c>
      <c r="B35" s="6" t="s">
        <v>38</v>
      </c>
      <c r="C35" s="6" t="str" cm="1">
        <f t="array" ref="C35">_xlfn.IFS(TRIM(B35)="Sunshine Coast","Sunshine Coast Council",TRIM(B35)="Moreton Bay","City of Moreton Bay",TRIM(B35)="Gold Coast","City of Gold Coast",TRIM(B35)="Ipswich","Ipswich City Council",TRUE,"")</f>
        <v>Ipswich City Council</v>
      </c>
      <c r="D35" s="6" t="str" cm="1">
        <f t="array" ref="D35">_xlfn.IFS(TRIM(B35)="Sunshine Coast", "Chemical Timber Treatment &amp; Soil Contamination Risk", TRIM(B35)="Moreton Bay", "Raw Material Stockpile &amp; Runoff Management Risk", TRIM(B35)="Gold Coast", "Heavy Mill Machinery WHS &amp; Noise Isolation Risk", TRIM(B35)="Ipswich", "Biosecurity Wood Pest &amp; Structural Storage Risk", TRUE, "")</f>
        <v>Biosecurity Wood Pest &amp; Structural Storage Risk</v>
      </c>
      <c r="E35" s="6" t="str" cm="1">
        <f t="array" ref="E35">_xlfn.IFS(TRIM(B35)="Sunshine Coast", "Bunded Chemical Storage Inspection &amp; Soil Sample Assay Log", TRIM(B35)="Moreton Bay", "Retention Basin Sediment Level Audit &amp; Stormwater Runoff pH Test", TRIM(B35)="Gold Coast", "Sawmill Blade Guard Integrity Log &amp; Daily Decibel Boundary Check", TRIM(B35)="Ipswich", "Imported Timber Pest Inspection Certificate Validation &amp; Stack Height Metric", TRUE, "")</f>
        <v>Imported Timber Pest Inspection Certificate Validation &amp; Stack Height Metric</v>
      </c>
      <c r="F35" s="6" t="str" cm="1">
        <f t="array" ref="F35">_xlfn.IFS(TRIM(B35)="Sunshine Coast", "100% containment bunding for all timber preservation chemicals and treatment vessels", TRIM(B35)="Moreton Bay", "Install sediment traps to prevent sawdust and organic matter from entering local catchments", TRIM(B35)="Gold Coast", "All operators must use Grade 5 hearing protection and follow strict lock-out/tag-out protocols", TRIM(B35)="Ipswich", "Timber stacks must not exceed 4 meters in height and undergo quarterly borer/termite screening", TRUE, "")</f>
        <v>Timber stacks must not exceed 4 meters in height and undergo quarterly borer/termite screening</v>
      </c>
      <c r="G35" s="6" t="str" cm="1">
        <f t="array" ref="G35">_xlfn.IFS(TRIM(B35)="Sunshine Coast", "DESI Chemical Management Regs / MS Loop Wooden Folder", TRIM(B35)="Moreton Bay", "Water Quality Environmental Protection Policy 2019", TRIM(B35)="Gold Coast", "WorkSafe QLD Sawmilling Guide / Loop WHS Files", TRIM(B35)="Ipswich", "Department of Agriculture and Fisheries Biosecurity Standards", TRUE, "")</f>
        <v>Department of Agriculture and Fisheries Biosecurity Standards</v>
      </c>
    </row>
    <row r="36" spans="1:7" ht="15.6" x14ac:dyDescent="0.3">
      <c r="A36" s="4" t="s">
        <v>24</v>
      </c>
      <c r="B36" s="6" t="s">
        <v>44</v>
      </c>
      <c r="C36" s="6" t="str" cm="1">
        <f t="array" ref="C36">_xlfn.IFS(TRIM(B36)="Sunshine Coast","Sunshine Coast Council",TRIM(B36)="Moreton Bay","City of Moreton Bay",TRIM(B36)="Gold Coast","City of Gold Coast",TRIM(B36)="Ipswich","Ipswich City Council",TRUE,"")</f>
        <v>City of Gold Coast</v>
      </c>
      <c r="D36" s="6" t="str" cm="1">
        <f t="array" ref="D36">_xlfn.IFS(TRIM(B36)="Sunshine Coast", "Chemical Timber Treatment &amp; Soil Contamination Risk", TRIM(B36)="Moreton Bay", "Raw Material Stockpile &amp; Runoff Management Risk", TRIM(B36)="Gold Coast", "Heavy Mill Machinery WHS &amp; Noise Isolation Risk", TRIM(B36)="Ipswich", "Biosecurity Wood Pest &amp; Structural Storage Risk", TRUE, "")</f>
        <v>Heavy Mill Machinery WHS &amp; Noise Isolation Risk</v>
      </c>
      <c r="E36" s="6" t="str" cm="1">
        <f t="array" ref="E36">_xlfn.IFS(TRIM(B36)="Sunshine Coast", "Bunded Chemical Storage Inspection &amp; Soil Sample Assay Log", TRIM(B36)="Moreton Bay", "Retention Basin Sediment Level Audit &amp; Stormwater Runoff pH Test", TRIM(B36)="Gold Coast", "Sawmill Blade Guard Integrity Log &amp; Daily Decibel Boundary Check", TRIM(B36)="Ipswich", "Imported Timber Pest Inspection Certificate Validation &amp; Stack Height Metric", TRUE, "")</f>
        <v>Sawmill Blade Guard Integrity Log &amp; Daily Decibel Boundary Check</v>
      </c>
      <c r="F36" s="6" t="str" cm="1">
        <f t="array" ref="F36">_xlfn.IFS(TRIM(B36)="Sunshine Coast", "100% containment bunding for all timber preservation chemicals and treatment vessels", TRIM(B36)="Moreton Bay", "Install sediment traps to prevent sawdust and organic matter from entering local catchments", TRIM(B36)="Gold Coast", "All operators must use Grade 5 hearing protection and follow strict lock-out/tag-out protocols", TRIM(B36)="Ipswich", "Timber stacks must not exceed 4 meters in height and undergo quarterly borer/termite screening", TRUE, "")</f>
        <v>All operators must use Grade 5 hearing protection and follow strict lock-out/tag-out protocols</v>
      </c>
      <c r="G36" s="6" t="str" cm="1">
        <f t="array" ref="G36">_xlfn.IFS(TRIM(B36)="Sunshine Coast", "DESI Chemical Management Regs / MS Loop Wooden Folder", TRIM(B36)="Moreton Bay", "Water Quality Environmental Protection Policy 2019", TRIM(B36)="Gold Coast", "WorkSafe QLD Sawmilling Guide / Loop WHS Files", TRIM(B36)="Ipswich", "Department of Agriculture and Fisheries Biosecurity Standards", TRUE, "")</f>
        <v>WorkSafe QLD Sawmilling Guide / Loop WHS Files</v>
      </c>
    </row>
    <row r="37" spans="1:7" ht="15.6" x14ac:dyDescent="0.3">
      <c r="A37" s="4" t="s">
        <v>40</v>
      </c>
      <c r="B37" s="6" t="s">
        <v>38</v>
      </c>
      <c r="C37" s="6" t="str" cm="1">
        <f t="array" ref="C37">_xlfn.IFS(TRIM(B37)="Sunshine Coast","Sunshine Coast Council",TRIM(B37)="Moreton Bay","City of Moreton Bay",TRIM(B37)="Gold Coast","City of Gold Coast",TRIM(B37)="Ipswich","Ipswich City Council",TRUE,"")</f>
        <v>Ipswich City Council</v>
      </c>
      <c r="D37" s="6" t="str" cm="1">
        <f t="array" ref="D37">_xlfn.IFS(TRIM(B37)="Sunshine Coast", "Chemical Timber Treatment &amp; Soil Contamination Risk", TRIM(B37)="Moreton Bay", "Raw Material Stockpile &amp; Runoff Management Risk", TRIM(B37)="Gold Coast", "Heavy Mill Machinery WHS &amp; Noise Isolation Risk", TRIM(B37)="Ipswich", "Biosecurity Wood Pest &amp; Structural Storage Risk", TRUE, "")</f>
        <v>Biosecurity Wood Pest &amp; Structural Storage Risk</v>
      </c>
      <c r="E37" s="6" t="str" cm="1">
        <f t="array" ref="E37">_xlfn.IFS(TRIM(B37)="Sunshine Coast", "Bunded Chemical Storage Inspection &amp; Soil Sample Assay Log", TRIM(B37)="Moreton Bay", "Retention Basin Sediment Level Audit &amp; Stormwater Runoff pH Test", TRIM(B37)="Gold Coast", "Sawmill Blade Guard Integrity Log &amp; Daily Decibel Boundary Check", TRIM(B37)="Ipswich", "Imported Timber Pest Inspection Certificate Validation &amp; Stack Height Metric", TRUE, "")</f>
        <v>Imported Timber Pest Inspection Certificate Validation &amp; Stack Height Metric</v>
      </c>
      <c r="F37" s="6" t="str" cm="1">
        <f t="array" ref="F37">_xlfn.IFS(TRIM(B37)="Sunshine Coast", "100% containment bunding for all timber preservation chemicals and treatment vessels", TRIM(B37)="Moreton Bay", "Install sediment traps to prevent sawdust and organic matter from entering local catchments", TRIM(B37)="Gold Coast", "All operators must use Grade 5 hearing protection and follow strict lock-out/tag-out protocols", TRIM(B37)="Ipswich", "Timber stacks must not exceed 4 meters in height and undergo quarterly borer/termite screening", TRUE, "")</f>
        <v>Timber stacks must not exceed 4 meters in height and undergo quarterly borer/termite screening</v>
      </c>
      <c r="G37" s="6" t="str" cm="1">
        <f t="array" ref="G37">_xlfn.IFS(TRIM(B37)="Sunshine Coast", "DESI Chemical Management Regs / MS Loop Wooden Folder", TRIM(B37)="Moreton Bay", "Water Quality Environmental Protection Policy 2019", TRIM(B37)="Gold Coast", "WorkSafe QLD Sawmilling Guide / Loop WHS Files", TRIM(B37)="Ipswich", "Department of Agriculture and Fisheries Biosecurity Standards", TRUE, "")</f>
        <v>Department of Agriculture and Fisheries Biosecurity Standards</v>
      </c>
    </row>
    <row r="38" spans="1:7" ht="15" x14ac:dyDescent="0.3">
      <c r="A38" s="3" t="s">
        <v>7</v>
      </c>
      <c r="B38" s="6" t="s">
        <v>43</v>
      </c>
      <c r="C38" s="6" t="str" cm="1">
        <f t="array" ref="C38">_xlfn.IFS(TRIM(B38)="Sunshine Coast","Sunshine Coast Council",TRIM(B38)="Moreton Bay","City of Moreton Bay",TRIM(B38)="Gold Coast","City of Gold Coast",TRIM(B38)="Ipswich","Ipswich City Council",TRUE,"")</f>
        <v>Sunshine Coast Council</v>
      </c>
      <c r="D38" s="6" t="str" cm="1">
        <f t="array" ref="D38">_xlfn.IFS(TRIM(B38)="Sunshine Coast", "Chemical Timber Treatment &amp; Soil Contamination Risk", TRIM(B38)="Moreton Bay", "Raw Material Stockpile &amp; Runoff Management Risk", TRIM(B38)="Gold Coast", "Heavy Mill Machinery WHS &amp; Noise Isolation Risk", TRIM(B38)="Ipswich", "Biosecurity Wood Pest &amp; Structural Storage Risk", TRUE, "")</f>
        <v>Chemical Timber Treatment &amp; Soil Contamination Risk</v>
      </c>
      <c r="E38" s="6" t="str" cm="1">
        <f t="array" ref="E38">_xlfn.IFS(TRIM(B38)="Sunshine Coast", "Bunded Chemical Storage Inspection &amp; Soil Sample Assay Log", TRIM(B38)="Moreton Bay", "Retention Basin Sediment Level Audit &amp; Stormwater Runoff pH Test", TRIM(B38)="Gold Coast", "Sawmill Blade Guard Integrity Log &amp; Daily Decibel Boundary Check", TRIM(B38)="Ipswich", "Imported Timber Pest Inspection Certificate Validation &amp; Stack Height Metric", TRUE, "")</f>
        <v>Bunded Chemical Storage Inspection &amp; Soil Sample Assay Log</v>
      </c>
      <c r="F38" s="6" t="str" cm="1">
        <f t="array" ref="F38">_xlfn.IFS(TRIM(B38)="Sunshine Coast", "100% containment bunding for all timber preservation chemicals and treatment vessels", TRIM(B38)="Moreton Bay", "Install sediment traps to prevent sawdust and organic matter from entering local catchments", TRIM(B38)="Gold Coast", "All operators must use Grade 5 hearing protection and follow strict lock-out/tag-out protocols", TRIM(B38)="Ipswich", "Timber stacks must not exceed 4 meters in height and undergo quarterly borer/termite screening", TRUE, "")</f>
        <v>100% containment bunding for all timber preservation chemicals and treatment vessels</v>
      </c>
      <c r="G38" s="6" t="str" cm="1">
        <f t="array" ref="G38">_xlfn.IFS(TRIM(B38)="Sunshine Coast", "DESI Chemical Management Regs / MS Loop Wooden Folder", TRIM(B38)="Moreton Bay", "Water Quality Environmental Protection Policy 2019", TRIM(B38)="Gold Coast", "WorkSafe QLD Sawmilling Guide / Loop WHS Files", TRIM(B38)="Ipswich", "Department of Agriculture and Fisheries Biosecurity Standards", TRUE, "")</f>
        <v>DESI Chemical Management Regs / MS Loop Wooden Folder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463A-8844-4E86-BCF7-354325D28FC4}">
  <dimension ref="A1:I38"/>
  <sheetViews>
    <sheetView workbookViewId="0">
      <selection activeCell="D4" sqref="D4"/>
    </sheetView>
  </sheetViews>
  <sheetFormatPr defaultRowHeight="14.4" x14ac:dyDescent="0.3"/>
  <cols>
    <col min="1" max="1" width="22.21875" customWidth="1"/>
    <col min="2" max="2" width="22.77734375" customWidth="1"/>
    <col min="3" max="3" width="30.44140625" customWidth="1"/>
    <col min="4" max="4" width="50.109375" bestFit="1" customWidth="1"/>
    <col min="5" max="5" width="72.109375" bestFit="1" customWidth="1"/>
    <col min="6" max="6" width="95.44140625" bestFit="1" customWidth="1"/>
    <col min="7" max="7" width="68.44140625" bestFit="1" customWidth="1"/>
    <col min="9" max="9" width="13.21875" customWidth="1"/>
  </cols>
  <sheetData>
    <row r="1" spans="1:9" ht="46.8" thickBot="1" x14ac:dyDescent="0.35">
      <c r="A1" s="7" t="s">
        <v>53</v>
      </c>
      <c r="B1" s="7"/>
      <c r="C1" s="7"/>
      <c r="D1" s="7"/>
      <c r="E1" s="7"/>
      <c r="F1" s="7"/>
      <c r="G1" s="7"/>
      <c r="H1" t="s">
        <v>15</v>
      </c>
      <c r="I1" t="s">
        <v>16</v>
      </c>
    </row>
    <row r="2" spans="1:9" ht="69.599999999999994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</v>
      </c>
      <c r="G2" s="1" t="s">
        <v>14</v>
      </c>
    </row>
    <row r="3" spans="1:9" ht="15" x14ac:dyDescent="0.3">
      <c r="A3" s="3" t="s">
        <v>0</v>
      </c>
      <c r="B3" s="6" t="s">
        <v>43</v>
      </c>
      <c r="C3" s="6" t="str" cm="1">
        <f t="array" ref="C3">_xlfn.IFS(TRIM(B3)="Sunshine Coast","Sunshine Coast Council",TRIM(B3)="Moreton Bay","City of Moreton Bay",TRIM(B3)="Gold Coast","City of Gold Coast",TRIM(B3)="Ipswich","Ipswich City Council",TRUE,"")</f>
        <v>Sunshine Coast Council</v>
      </c>
      <c r="D3" s="6" t="str" cm="1">
        <f t="array" ref="D3">_xlfn.IFS(TRIM(B3)="Sunshine Coast", "High-Density Logistics &amp; Fire Egress Risk", TRIM(B3)="Moreton Bay", "Commercial Apparel Warehousing &amp; Ergonomic Risk", TRIM(B3)="Gold Coast", "Retail Shopfront Public Safety &amp; Crowd Control Risk", TRIM(B3)="Ipswich", "Textile Storage Chemical Treatment &amp; Ventilation Risk", TRUE, "")</f>
        <v>High-Density Logistics &amp; Fire Egress Risk</v>
      </c>
      <c r="E3" s="6" t="str" cm="1">
        <f t="array" ref="E3">_xlfn.IFS(TRIM(B3)="Sunshine Coast", "Stockroom Walkway Clearance Audit &amp; Fire Extinguisher Tag Check", TRIM(B3)="Moreton Bay", "High-Level Racking Weight Limit Metric &amp; Manual Handling Training Log", TRIM(B3)="Gold Coast", "Main Storefront Floor Slip-Resistance Test &amp; Emergency Exit Illumination Audit", TRIM(B3)="Ipswich", "Fabric Storage Air-Exchange Velocity Log &amp; Formaldehyde Product Screening", TRUE, "")</f>
        <v>Stockroom Walkway Clearance Audit &amp; Fire Extinguisher Tag Check</v>
      </c>
      <c r="F3" s="6" t="str" cm="1">
        <f t="array" ref="F3">_xlfn.IFS(TRIM(B3)="Sunshine Coast", "Maintain a minimum 1.0-meter clear width on all stockroom emergency egress paths", TRIM(B3)="Moreton Bay", "Mandatory structural engineering certifications posted on all high-density pallet racking", TRIM(B3)="Gold Coast", "Ensure store layout complies with maximum occupancy limits and floor vectors are kept spill-free", TRIM(B3)="Ipswich", "Provide continuous mechanical ventilation in fabric processing/bulk storage areas to manage off-gassing", TRUE, "")</f>
        <v>Maintain a minimum 1.0-meter clear width on all stockroom emergency egress paths</v>
      </c>
      <c r="G3" s="6" t="str" cm="1">
        <f t="array" ref="G3">_xlfn.IFS(TRIM(B3)="Sunshine Coast", "Queensland Building and Fire Safety Regulation / MS Loop Clothes Folder", TRIM(B3)="Moreton Bay", "WorkSafe QLD Storage and Warehousing National Code", TRIM(B3)="Gold Coast", "City of Gold Coast Local Retail Planning Schemes", TRIM(B3)="Ipswich", "Australian Consumer Law Textile Standards / Loop Master Register", TRUE, "")</f>
        <v>Queensland Building and Fire Safety Regulation / MS Loop Clothes Folder</v>
      </c>
    </row>
    <row r="4" spans="1:9" ht="15" x14ac:dyDescent="0.3">
      <c r="A4" s="3" t="s">
        <v>2</v>
      </c>
      <c r="B4" s="6" t="s">
        <v>43</v>
      </c>
      <c r="C4" s="6" t="str" cm="1">
        <f t="array" ref="C4">_xlfn.IFS(TRIM(B4)="Sunshine Coast","Sunshine Coast Council",TRIM(B4)="Moreton Bay","City of Moreton Bay",TRIM(B4)="Gold Coast","City of Gold Coast",TRIM(B4)="Ipswich","Ipswich City Council",TRUE,"")</f>
        <v>Sunshine Coast Council</v>
      </c>
      <c r="D4" s="6" t="str" cm="1">
        <f t="array" ref="D4">_xlfn.IFS(TRIM(B4)="Sunshine Coast", "High-Density Logistics &amp; Fire Egress Risk", TRIM(B4)="Moreton Bay", "Commercial Apparel Warehousing &amp; Ergonomic Risk", TRIM(B4)="Gold Coast", "Retail Shopfront Public Safety &amp; Crowd Control Risk", TRIM(B4)="Ipswich", "Textile Storage Chemical Treatment &amp; Ventilation Risk", TRUE, "")</f>
        <v>High-Density Logistics &amp; Fire Egress Risk</v>
      </c>
      <c r="E4" s="6" t="str" cm="1">
        <f t="array" ref="E4">_xlfn.IFS(TRIM(B4)="Sunshine Coast", "Stockroom Walkway Clearance Audit &amp; Fire Extinguisher Tag Check", TRIM(B4)="Moreton Bay", "High-Level Racking Weight Limit Metric &amp; Manual Handling Training Log", TRIM(B4)="Gold Coast", "Main Storefront Floor Slip-Resistance Test &amp; Emergency Exit Illumination Audit", TRIM(B4)="Ipswich", "Fabric Storage Air-Exchange Velocity Log &amp; Formaldehyde Product Screening", TRUE, "")</f>
        <v>Stockroom Walkway Clearance Audit &amp; Fire Extinguisher Tag Check</v>
      </c>
      <c r="F4" s="6" t="str" cm="1">
        <f t="array" ref="F4">_xlfn.IFS(TRIM(B4)="Sunshine Coast", "Maintain a minimum 1.0-meter clear width on all stockroom emergency egress paths", TRIM(B4)="Moreton Bay", "Mandatory structural engineering certifications posted on all high-density pallet racking", TRIM(B4)="Gold Coast", "Ensure store layout complies with maximum occupancy limits and floor vectors are kept spill-free", TRIM(B4)="Ipswich", "Provide continuous mechanical ventilation in fabric processing/bulk storage areas to manage off-gassing", TRUE, "")</f>
        <v>Maintain a minimum 1.0-meter clear width on all stockroom emergency egress paths</v>
      </c>
      <c r="G4" s="6" t="str" cm="1">
        <f t="array" ref="G4">_xlfn.IFS(TRIM(B4)="Sunshine Coast", "Queensland Building and Fire Safety Regulation / MS Loop Clothes Folder", TRIM(B4)="Moreton Bay", "WorkSafe QLD Storage and Warehousing National Code", TRIM(B4)="Gold Coast", "City of Gold Coast Local Retail Planning Schemes", TRIM(B4)="Ipswich", "Australian Consumer Law Textile Standards / Loop Master Register", TRUE, "")</f>
        <v>Queensland Building and Fire Safety Regulation / MS Loop Clothes Folder</v>
      </c>
    </row>
    <row r="5" spans="1:9" ht="15.6" x14ac:dyDescent="0.3">
      <c r="A5" s="4" t="s">
        <v>34</v>
      </c>
      <c r="B5" s="6" t="s">
        <v>45</v>
      </c>
      <c r="C5" s="6" t="str" cm="1">
        <f t="array" ref="C5">_xlfn.IFS(TRIM(B5)="Sunshine Coast","Sunshine Coast Council",TRIM(B5)="Moreton Bay","City of Moreton Bay",TRIM(B5)="Gold Coast","City of Gold Coast",TRIM(B5)="Ipswich","Ipswich City Council",TRUE,"")</f>
        <v>City of Moreton Bay</v>
      </c>
      <c r="D5" s="6" t="str" cm="1">
        <f t="array" ref="D5">_xlfn.IFS(TRIM(B5)="Sunshine Coast", "High-Density Logistics &amp; Fire Egress Risk", TRIM(B5)="Moreton Bay", "Commercial Apparel Warehousing &amp; Ergonomic Risk", TRIM(B5)="Gold Coast", "Retail Shopfront Public Safety &amp; Crowd Control Risk", TRIM(B5)="Ipswich", "Textile Storage Chemical Treatment &amp; Ventilation Risk", TRUE, "")</f>
        <v>Commercial Apparel Warehousing &amp; Ergonomic Risk</v>
      </c>
      <c r="E5" s="6" t="str" cm="1">
        <f t="array" ref="E5">_xlfn.IFS(TRIM(B5)="Sunshine Coast", "Stockroom Walkway Clearance Audit &amp; Fire Extinguisher Tag Check", TRIM(B5)="Moreton Bay", "High-Level Racking Weight Limit Metric &amp; Manual Handling Training Log", TRIM(B5)="Gold Coast", "Main Storefront Floor Slip-Resistance Test &amp; Emergency Exit Illumination Audit", TRIM(B5)="Ipswich", "Fabric Storage Air-Exchange Velocity Log &amp; Formaldehyde Product Screening", TRUE, "")</f>
        <v>High-Level Racking Weight Limit Metric &amp; Manual Handling Training Log</v>
      </c>
      <c r="F5" s="6" t="str" cm="1">
        <f t="array" ref="F5">_xlfn.IFS(TRIM(B5)="Sunshine Coast", "Maintain a minimum 1.0-meter clear width on all stockroom emergency egress paths", TRIM(B5)="Moreton Bay", "Mandatory structural engineering certifications posted on all high-density pallet racking", TRIM(B5)="Gold Coast", "Ensure store layout complies with maximum occupancy limits and floor vectors are kept spill-free", TRIM(B5)="Ipswich", "Provide continuous mechanical ventilation in fabric processing/bulk storage areas to manage off-gassing", TRUE, "")</f>
        <v>Mandatory structural engineering certifications posted on all high-density pallet racking</v>
      </c>
      <c r="G5" s="6" t="str" cm="1">
        <f t="array" ref="G5">_xlfn.IFS(TRIM(B5)="Sunshine Coast", "Queensland Building and Fire Safety Regulation / MS Loop Clothes Folder", TRIM(B5)="Moreton Bay", "WorkSafe QLD Storage and Warehousing National Code", TRIM(B5)="Gold Coast", "City of Gold Coast Local Retail Planning Schemes", TRIM(B5)="Ipswich", "Australian Consumer Law Textile Standards / Loop Master Register", TRUE, "")</f>
        <v>WorkSafe QLD Storage and Warehousing National Code</v>
      </c>
    </row>
    <row r="6" spans="1:9" ht="15.6" x14ac:dyDescent="0.3">
      <c r="A6" s="4" t="s">
        <v>32</v>
      </c>
      <c r="B6" s="6" t="s">
        <v>45</v>
      </c>
      <c r="C6" s="6" t="str" cm="1">
        <f t="array" ref="C6">_xlfn.IFS(TRIM(B6)="Sunshine Coast","Sunshine Coast Council",TRIM(B6)="Moreton Bay","City of Moreton Bay",TRIM(B6)="Gold Coast","City of Gold Coast",TRIM(B6)="Ipswich","Ipswich City Council",TRUE,"")</f>
        <v>City of Moreton Bay</v>
      </c>
      <c r="D6" s="6" t="str" cm="1">
        <f t="array" ref="D6">_xlfn.IFS(TRIM(B6)="Sunshine Coast", "High-Density Logistics &amp; Fire Egress Risk", TRIM(B6)="Moreton Bay", "Commercial Apparel Warehousing &amp; Ergonomic Risk", TRIM(B6)="Gold Coast", "Retail Shopfront Public Safety &amp; Crowd Control Risk", TRIM(B6)="Ipswich", "Textile Storage Chemical Treatment &amp; Ventilation Risk", TRUE, "")</f>
        <v>Commercial Apparel Warehousing &amp; Ergonomic Risk</v>
      </c>
      <c r="E6" s="6" t="str" cm="1">
        <f t="array" ref="E6">_xlfn.IFS(TRIM(B6)="Sunshine Coast", "Stockroom Walkway Clearance Audit &amp; Fire Extinguisher Tag Check", TRIM(B6)="Moreton Bay", "High-Level Racking Weight Limit Metric &amp; Manual Handling Training Log", TRIM(B6)="Gold Coast", "Main Storefront Floor Slip-Resistance Test &amp; Emergency Exit Illumination Audit", TRIM(B6)="Ipswich", "Fabric Storage Air-Exchange Velocity Log &amp; Formaldehyde Product Screening", TRUE, "")</f>
        <v>High-Level Racking Weight Limit Metric &amp; Manual Handling Training Log</v>
      </c>
      <c r="F6" s="6" t="str" cm="1">
        <f t="array" ref="F6">_xlfn.IFS(TRIM(B6)="Sunshine Coast", "Maintain a minimum 1.0-meter clear width on all stockroom emergency egress paths", TRIM(B6)="Moreton Bay", "Mandatory structural engineering certifications posted on all high-density pallet racking", TRIM(B6)="Gold Coast", "Ensure store layout complies with maximum occupancy limits and floor vectors are kept spill-free", TRIM(B6)="Ipswich", "Provide continuous mechanical ventilation in fabric processing/bulk storage areas to manage off-gassing", TRUE, "")</f>
        <v>Mandatory structural engineering certifications posted on all high-density pallet racking</v>
      </c>
      <c r="G6" s="6" t="str" cm="1">
        <f t="array" ref="G6">_xlfn.IFS(TRIM(B6)="Sunshine Coast", "Queensland Building and Fire Safety Regulation / MS Loop Clothes Folder", TRIM(B6)="Moreton Bay", "WorkSafe QLD Storage and Warehousing National Code", TRIM(B6)="Gold Coast", "City of Gold Coast Local Retail Planning Schemes", TRIM(B6)="Ipswich", "Australian Consumer Law Textile Standards / Loop Master Register", TRUE, "")</f>
        <v>WorkSafe QLD Storage and Warehousing National Code</v>
      </c>
    </row>
    <row r="7" spans="1:9" ht="15.6" x14ac:dyDescent="0.3">
      <c r="A7" s="4" t="s">
        <v>19</v>
      </c>
      <c r="B7" s="6" t="s">
        <v>44</v>
      </c>
      <c r="C7" s="6" t="str" cm="1">
        <f t="array" ref="C7">_xlfn.IFS(TRIM(B7)="Sunshine Coast","Sunshine Coast Council",TRIM(B7)="Moreton Bay","City of Moreton Bay",TRIM(B7)="Gold Coast","City of Gold Coast",TRIM(B7)="Ipswich","Ipswich City Council",TRUE,"")</f>
        <v>City of Gold Coast</v>
      </c>
      <c r="D7" s="6" t="str" cm="1">
        <f t="array" ref="D7">_xlfn.IFS(TRIM(B7)="Sunshine Coast", "High-Density Logistics &amp; Fire Egress Risk", TRIM(B7)="Moreton Bay", "Commercial Apparel Warehousing &amp; Ergonomic Risk", TRIM(B7)="Gold Coast", "Retail Shopfront Public Safety &amp; Crowd Control Risk", TRIM(B7)="Ipswich", "Textile Storage Chemical Treatment &amp; Ventilation Risk", TRUE, "")</f>
        <v>Retail Shopfront Public Safety &amp; Crowd Control Risk</v>
      </c>
      <c r="E7" s="6" t="str" cm="1">
        <f t="array" ref="E7">_xlfn.IFS(TRIM(B7)="Sunshine Coast", "Stockroom Walkway Clearance Audit &amp; Fire Extinguisher Tag Check", TRIM(B7)="Moreton Bay", "High-Level Racking Weight Limit Metric &amp; Manual Handling Training Log", TRIM(B7)="Gold Coast", "Main Storefront Floor Slip-Resistance Test &amp; Emergency Exit Illumination Audit", TRIM(B7)="Ipswich", "Fabric Storage Air-Exchange Velocity Log &amp; Formaldehyde Product Screening", TRUE, "")</f>
        <v>Main Storefront Floor Slip-Resistance Test &amp; Emergency Exit Illumination Audit</v>
      </c>
      <c r="F7" s="6" t="str" cm="1">
        <f t="array" ref="F7">_xlfn.IFS(TRIM(B7)="Sunshine Coast", "Maintain a minimum 1.0-meter clear width on all stockroom emergency egress paths", TRIM(B7)="Moreton Bay", "Mandatory structural engineering certifications posted on all high-density pallet racking", TRIM(B7)="Gold Coast", "Ensure store layout complies with maximum occupancy limits and floor vectors are kept spill-free", TRIM(B7)="Ipswich", "Provide continuous mechanical ventilation in fabric processing/bulk storage areas to manage off-gassing", TRUE, "")</f>
        <v>Ensure store layout complies with maximum occupancy limits and floor vectors are kept spill-free</v>
      </c>
      <c r="G7" s="6" t="str" cm="1">
        <f t="array" ref="G7">_xlfn.IFS(TRIM(B7)="Sunshine Coast", "Queensland Building and Fire Safety Regulation / MS Loop Clothes Folder", TRIM(B7)="Moreton Bay", "WorkSafe QLD Storage and Warehousing National Code", TRIM(B7)="Gold Coast", "City of Gold Coast Local Retail Planning Schemes", TRIM(B7)="Ipswich", "Australian Consumer Law Textile Standards / Loop Master Register", TRUE, "")</f>
        <v>City of Gold Coast Local Retail Planning Schemes</v>
      </c>
    </row>
    <row r="8" spans="1:9" ht="15.6" x14ac:dyDescent="0.3">
      <c r="A8" s="4" t="s">
        <v>36</v>
      </c>
      <c r="B8" s="6" t="s">
        <v>45</v>
      </c>
      <c r="C8" s="6" t="str" cm="1">
        <f t="array" ref="C8">_xlfn.IFS(TRIM(B8)="Sunshine Coast","Sunshine Coast Council",TRIM(B8)="Moreton Bay","City of Moreton Bay",TRIM(B8)="Gold Coast","City of Gold Coast",TRIM(B8)="Ipswich","Ipswich City Council",TRUE,"")</f>
        <v>City of Moreton Bay</v>
      </c>
      <c r="D8" s="6" t="str" cm="1">
        <f t="array" ref="D8">_xlfn.IFS(TRIM(B8)="Sunshine Coast", "High-Density Logistics &amp; Fire Egress Risk", TRIM(B8)="Moreton Bay", "Commercial Apparel Warehousing &amp; Ergonomic Risk", TRIM(B8)="Gold Coast", "Retail Shopfront Public Safety &amp; Crowd Control Risk", TRIM(B8)="Ipswich", "Textile Storage Chemical Treatment &amp; Ventilation Risk", TRUE, "")</f>
        <v>Commercial Apparel Warehousing &amp; Ergonomic Risk</v>
      </c>
      <c r="E8" s="6" t="str" cm="1">
        <f t="array" ref="E8">_xlfn.IFS(TRIM(B8)="Sunshine Coast", "Stockroom Walkway Clearance Audit &amp; Fire Extinguisher Tag Check", TRIM(B8)="Moreton Bay", "High-Level Racking Weight Limit Metric &amp; Manual Handling Training Log", TRIM(B8)="Gold Coast", "Main Storefront Floor Slip-Resistance Test &amp; Emergency Exit Illumination Audit", TRIM(B8)="Ipswich", "Fabric Storage Air-Exchange Velocity Log &amp; Formaldehyde Product Screening", TRUE, "")</f>
        <v>High-Level Racking Weight Limit Metric &amp; Manual Handling Training Log</v>
      </c>
      <c r="F8" s="6" t="str" cm="1">
        <f t="array" ref="F8">_xlfn.IFS(TRIM(B8)="Sunshine Coast", "Maintain a minimum 1.0-meter clear width on all stockroom emergency egress paths", TRIM(B8)="Moreton Bay", "Mandatory structural engineering certifications posted on all high-density pallet racking", TRIM(B8)="Gold Coast", "Ensure store layout complies with maximum occupancy limits and floor vectors are kept spill-free", TRIM(B8)="Ipswich", "Provide continuous mechanical ventilation in fabric processing/bulk storage areas to manage off-gassing", TRUE, "")</f>
        <v>Mandatory structural engineering certifications posted on all high-density pallet racking</v>
      </c>
      <c r="G8" s="6" t="str" cm="1">
        <f t="array" ref="G8">_xlfn.IFS(TRIM(B8)="Sunshine Coast", "Queensland Building and Fire Safety Regulation / MS Loop Clothes Folder", TRIM(B8)="Moreton Bay", "WorkSafe QLD Storage and Warehousing National Code", TRIM(B8)="Gold Coast", "City of Gold Coast Local Retail Planning Schemes", TRIM(B8)="Ipswich", "Australian Consumer Law Textile Standards / Loop Master Register", TRUE, "")</f>
        <v>WorkSafe QLD Storage and Warehousing National Code</v>
      </c>
    </row>
    <row r="9" spans="1:9" ht="15" x14ac:dyDescent="0.3">
      <c r="A9" s="2" t="s">
        <v>47</v>
      </c>
      <c r="B9" s="5" t="s">
        <v>43</v>
      </c>
      <c r="C9" s="6" t="str" cm="1">
        <f t="array" ref="C9">_xlfn.IFS(TRIM(B9)="Sunshine Coast","Sunshine Coast Council",TRIM(B9)="Moreton Bay","City of Moreton Bay",TRIM(B9)="Gold Coast","City of Gold Coast",TRIM(B9)="Ipswich","Ipswich City Council",TRUE,"")</f>
        <v>Sunshine Coast Council</v>
      </c>
      <c r="D9" s="6" t="str" cm="1">
        <f t="array" ref="D9">_xlfn.IFS(TRIM(B9)="Sunshine Coast", "High-Density Logistics &amp; Fire Egress Risk", TRIM(B9)="Moreton Bay", "Commercial Apparel Warehousing &amp; Ergonomic Risk", TRIM(B9)="Gold Coast", "Retail Shopfront Public Safety &amp; Crowd Control Risk", TRIM(B9)="Ipswich", "Textile Storage Chemical Treatment &amp; Ventilation Risk", TRUE, "")</f>
        <v>High-Density Logistics &amp; Fire Egress Risk</v>
      </c>
      <c r="E9" s="6" t="str" cm="1">
        <f t="array" ref="E9">_xlfn.IFS(TRIM(B9)="Sunshine Coast", "Stockroom Walkway Clearance Audit &amp; Fire Extinguisher Tag Check", TRIM(B9)="Moreton Bay", "High-Level Racking Weight Limit Metric &amp; Manual Handling Training Log", TRIM(B9)="Gold Coast", "Main Storefront Floor Slip-Resistance Test &amp; Emergency Exit Illumination Audit", TRIM(B9)="Ipswich", "Fabric Storage Air-Exchange Velocity Log &amp; Formaldehyde Product Screening", TRUE, "")</f>
        <v>Stockroom Walkway Clearance Audit &amp; Fire Extinguisher Tag Check</v>
      </c>
      <c r="F9" s="6" t="str" cm="1">
        <f t="array" ref="F9">_xlfn.IFS(TRIM(B9)="Sunshine Coast", "Maintain a minimum 1.0-meter clear width on all stockroom emergency egress paths", TRIM(B9)="Moreton Bay", "Mandatory structural engineering certifications posted on all high-density pallet racking", TRIM(B9)="Gold Coast", "Ensure store layout complies with maximum occupancy limits and floor vectors are kept spill-free", TRIM(B9)="Ipswich", "Provide continuous mechanical ventilation in fabric processing/bulk storage areas to manage off-gassing", TRUE, "")</f>
        <v>Maintain a minimum 1.0-meter clear width on all stockroom emergency egress paths</v>
      </c>
      <c r="G9" s="6" t="str" cm="1">
        <f t="array" ref="G9">_xlfn.IFS(TRIM(B9)="Sunshine Coast", "Queensland Building and Fire Safety Regulation / MS Loop Clothes Folder", TRIM(B9)="Moreton Bay", "WorkSafe QLD Storage and Warehousing National Code", TRIM(B9)="Gold Coast", "City of Gold Coast Local Retail Planning Schemes", TRIM(B9)="Ipswich", "Australian Consumer Law Textile Standards / Loop Master Register", TRUE, "")</f>
        <v>Queensland Building and Fire Safety Regulation / MS Loop Clothes Folder</v>
      </c>
    </row>
    <row r="10" spans="1:9" ht="15" x14ac:dyDescent="0.3">
      <c r="A10" s="3" t="s">
        <v>5</v>
      </c>
      <c r="B10" s="6" t="s">
        <v>43</v>
      </c>
      <c r="C10" s="6" t="str" cm="1">
        <f t="array" ref="C10">_xlfn.IFS(TRIM(B10)="Sunshine Coast","Sunshine Coast Council",TRIM(B10)="Moreton Bay","City of Moreton Bay",TRIM(B10)="Gold Coast","City of Gold Coast",TRIM(B10)="Ipswich","Ipswich City Council",TRUE,"")</f>
        <v>Sunshine Coast Council</v>
      </c>
      <c r="D10" s="6" t="str" cm="1">
        <f t="array" ref="D10">_xlfn.IFS(TRIM(B10)="Sunshine Coast", "High-Density Logistics &amp; Fire Egress Risk", TRIM(B10)="Moreton Bay", "Commercial Apparel Warehousing &amp; Ergonomic Risk", TRIM(B10)="Gold Coast", "Retail Shopfront Public Safety &amp; Crowd Control Risk", TRIM(B10)="Ipswich", "Textile Storage Chemical Treatment &amp; Ventilation Risk", TRUE, "")</f>
        <v>High-Density Logistics &amp; Fire Egress Risk</v>
      </c>
      <c r="E10" s="6" t="str" cm="1">
        <f t="array" ref="E10">_xlfn.IFS(TRIM(B10)="Sunshine Coast", "Stockroom Walkway Clearance Audit &amp; Fire Extinguisher Tag Check", TRIM(B10)="Moreton Bay", "High-Level Racking Weight Limit Metric &amp; Manual Handling Training Log", TRIM(B10)="Gold Coast", "Main Storefront Floor Slip-Resistance Test &amp; Emergency Exit Illumination Audit", TRIM(B10)="Ipswich", "Fabric Storage Air-Exchange Velocity Log &amp; Formaldehyde Product Screening", TRUE, "")</f>
        <v>Stockroom Walkway Clearance Audit &amp; Fire Extinguisher Tag Check</v>
      </c>
      <c r="F10" s="6" t="str" cm="1">
        <f t="array" ref="F10">_xlfn.IFS(TRIM(B10)="Sunshine Coast", "Maintain a minimum 1.0-meter clear width on all stockroom emergency egress paths", TRIM(B10)="Moreton Bay", "Mandatory structural engineering certifications posted on all high-density pallet racking", TRIM(B10)="Gold Coast", "Ensure store layout complies with maximum occupancy limits and floor vectors are kept spill-free", TRIM(B10)="Ipswich", "Provide continuous mechanical ventilation in fabric processing/bulk storage areas to manage off-gassing", TRUE, "")</f>
        <v>Maintain a minimum 1.0-meter clear width on all stockroom emergency egress paths</v>
      </c>
      <c r="G10" s="6" t="str" cm="1">
        <f t="array" ref="G10">_xlfn.IFS(TRIM(B10)="Sunshine Coast", "Queensland Building and Fire Safety Regulation / MS Loop Clothes Folder", TRIM(B10)="Moreton Bay", "WorkSafe QLD Storage and Warehousing National Code", TRIM(B10)="Gold Coast", "City of Gold Coast Local Retail Planning Schemes", TRIM(B10)="Ipswich", "Australian Consumer Law Textile Standards / Loop Master Register", TRUE, "")</f>
        <v>Queensland Building and Fire Safety Regulation / MS Loop Clothes Folder</v>
      </c>
    </row>
    <row r="11" spans="1:9" ht="15" x14ac:dyDescent="0.3">
      <c r="A11" s="3" t="s">
        <v>1</v>
      </c>
      <c r="B11" s="6" t="s">
        <v>43</v>
      </c>
      <c r="C11" s="6" t="str" cm="1">
        <f t="array" ref="C11">_xlfn.IFS(TRIM(B11)="Sunshine Coast","Sunshine Coast Council",TRIM(B11)="Moreton Bay","City of Moreton Bay",TRIM(B11)="Gold Coast","City of Gold Coast",TRIM(B11)="Ipswich","Ipswich City Council",TRUE,"")</f>
        <v>Sunshine Coast Council</v>
      </c>
      <c r="D11" s="6" t="str" cm="1">
        <f t="array" ref="D11">_xlfn.IFS(TRIM(B11)="Sunshine Coast", "High-Density Logistics &amp; Fire Egress Risk", TRIM(B11)="Moreton Bay", "Commercial Apparel Warehousing &amp; Ergonomic Risk", TRIM(B11)="Gold Coast", "Retail Shopfront Public Safety &amp; Crowd Control Risk", TRIM(B11)="Ipswich", "Textile Storage Chemical Treatment &amp; Ventilation Risk", TRUE, "")</f>
        <v>High-Density Logistics &amp; Fire Egress Risk</v>
      </c>
      <c r="E11" s="6" t="str" cm="1">
        <f t="array" ref="E11">_xlfn.IFS(TRIM(B11)="Sunshine Coast", "Stockroom Walkway Clearance Audit &amp; Fire Extinguisher Tag Check", TRIM(B11)="Moreton Bay", "High-Level Racking Weight Limit Metric &amp; Manual Handling Training Log", TRIM(B11)="Gold Coast", "Main Storefront Floor Slip-Resistance Test &amp; Emergency Exit Illumination Audit", TRIM(B11)="Ipswich", "Fabric Storage Air-Exchange Velocity Log &amp; Formaldehyde Product Screening", TRUE, "")</f>
        <v>Stockroom Walkway Clearance Audit &amp; Fire Extinguisher Tag Check</v>
      </c>
      <c r="F11" s="6" t="str" cm="1">
        <f t="array" ref="F11">_xlfn.IFS(TRIM(B11)="Sunshine Coast", "Maintain a minimum 1.0-meter clear width on all stockroom emergency egress paths", TRIM(B11)="Moreton Bay", "Mandatory structural engineering certifications posted on all high-density pallet racking", TRIM(B11)="Gold Coast", "Ensure store layout complies with maximum occupancy limits and floor vectors are kept spill-free", TRIM(B11)="Ipswich", "Provide continuous mechanical ventilation in fabric processing/bulk storage areas to manage off-gassing", TRUE, "")</f>
        <v>Maintain a minimum 1.0-meter clear width on all stockroom emergency egress paths</v>
      </c>
      <c r="G11" s="6" t="str" cm="1">
        <f t="array" ref="G11">_xlfn.IFS(TRIM(B11)="Sunshine Coast", "Queensland Building and Fire Safety Regulation / MS Loop Clothes Folder", TRIM(B11)="Moreton Bay", "WorkSafe QLD Storage and Warehousing National Code", TRIM(B11)="Gold Coast", "City of Gold Coast Local Retail Planning Schemes", TRIM(B11)="Ipswich", "Australian Consumer Law Textile Standards / Loop Master Register", TRUE, "")</f>
        <v>Queensland Building and Fire Safety Regulation / MS Loop Clothes Folder</v>
      </c>
    </row>
    <row r="12" spans="1:9" ht="15.6" x14ac:dyDescent="0.3">
      <c r="A12" s="4" t="s">
        <v>21</v>
      </c>
      <c r="B12" s="6" t="s">
        <v>44</v>
      </c>
      <c r="C12" s="6" t="str" cm="1">
        <f t="array" ref="C12">_xlfn.IFS(TRIM(B12)="Sunshine Coast","Sunshine Coast Council",TRIM(B12)="Moreton Bay","City of Moreton Bay",TRIM(B12)="Gold Coast","City of Gold Coast",TRIM(B12)="Ipswich","Ipswich City Council",TRUE,"")</f>
        <v>City of Gold Coast</v>
      </c>
      <c r="D12" s="6" t="str" cm="1">
        <f t="array" ref="D12">_xlfn.IFS(TRIM(B12)="Sunshine Coast", "High-Density Logistics &amp; Fire Egress Risk", TRIM(B12)="Moreton Bay", "Commercial Apparel Warehousing &amp; Ergonomic Risk", TRIM(B12)="Gold Coast", "Retail Shopfront Public Safety &amp; Crowd Control Risk", TRIM(B12)="Ipswich", "Textile Storage Chemical Treatment &amp; Ventilation Risk", TRUE, "")</f>
        <v>Retail Shopfront Public Safety &amp; Crowd Control Risk</v>
      </c>
      <c r="E12" s="6" t="str" cm="1">
        <f t="array" ref="E12">_xlfn.IFS(TRIM(B12)="Sunshine Coast", "Stockroom Walkway Clearance Audit &amp; Fire Extinguisher Tag Check", TRIM(B12)="Moreton Bay", "High-Level Racking Weight Limit Metric &amp; Manual Handling Training Log", TRIM(B12)="Gold Coast", "Main Storefront Floor Slip-Resistance Test &amp; Emergency Exit Illumination Audit", TRIM(B12)="Ipswich", "Fabric Storage Air-Exchange Velocity Log &amp; Formaldehyde Product Screening", TRUE, "")</f>
        <v>Main Storefront Floor Slip-Resistance Test &amp; Emergency Exit Illumination Audit</v>
      </c>
      <c r="F12" s="6" t="str" cm="1">
        <f t="array" ref="F12">_xlfn.IFS(TRIM(B12)="Sunshine Coast", "Maintain a minimum 1.0-meter clear width on all stockroom emergency egress paths", TRIM(B12)="Moreton Bay", "Mandatory structural engineering certifications posted on all high-density pallet racking", TRIM(B12)="Gold Coast", "Ensure store layout complies with maximum occupancy limits and floor vectors are kept spill-free", TRIM(B12)="Ipswich", "Provide continuous mechanical ventilation in fabric processing/bulk storage areas to manage off-gassing", TRUE, "")</f>
        <v>Ensure store layout complies with maximum occupancy limits and floor vectors are kept spill-free</v>
      </c>
      <c r="G12" s="6" t="str" cm="1">
        <f t="array" ref="G12">_xlfn.IFS(TRIM(B12)="Sunshine Coast", "Queensland Building and Fire Safety Regulation / MS Loop Clothes Folder", TRIM(B12)="Moreton Bay", "WorkSafe QLD Storage and Warehousing National Code", TRIM(B12)="Gold Coast", "City of Gold Coast Local Retail Planning Schemes", TRIM(B12)="Ipswich", "Australian Consumer Law Textile Standards / Loop Master Register", TRUE, "")</f>
        <v>City of Gold Coast Local Retail Planning Schemes</v>
      </c>
    </row>
    <row r="13" spans="1:9" ht="15.6" x14ac:dyDescent="0.3">
      <c r="A13" s="4" t="s">
        <v>20</v>
      </c>
      <c r="B13" s="6" t="s">
        <v>44</v>
      </c>
      <c r="C13" s="6" t="str" cm="1">
        <f t="array" ref="C13">_xlfn.IFS(TRIM(B13)="Sunshine Coast","Sunshine Coast Council",TRIM(B13)="Moreton Bay","City of Moreton Bay",TRIM(B13)="Gold Coast","City of Gold Coast",TRIM(B13)="Ipswich","Ipswich City Council",TRUE,"")</f>
        <v>City of Gold Coast</v>
      </c>
      <c r="D13" s="6" t="str" cm="1">
        <f t="array" ref="D13">_xlfn.IFS(TRIM(B13)="Sunshine Coast", "High-Density Logistics &amp; Fire Egress Risk", TRIM(B13)="Moreton Bay", "Commercial Apparel Warehousing &amp; Ergonomic Risk", TRIM(B13)="Gold Coast", "Retail Shopfront Public Safety &amp; Crowd Control Risk", TRIM(B13)="Ipswich", "Textile Storage Chemical Treatment &amp; Ventilation Risk", TRUE, "")</f>
        <v>Retail Shopfront Public Safety &amp; Crowd Control Risk</v>
      </c>
      <c r="E13" s="6" t="str" cm="1">
        <f t="array" ref="E13">_xlfn.IFS(TRIM(B13)="Sunshine Coast", "Stockroom Walkway Clearance Audit &amp; Fire Extinguisher Tag Check", TRIM(B13)="Moreton Bay", "High-Level Racking Weight Limit Metric &amp; Manual Handling Training Log", TRIM(B13)="Gold Coast", "Main Storefront Floor Slip-Resistance Test &amp; Emergency Exit Illumination Audit", TRIM(B13)="Ipswich", "Fabric Storage Air-Exchange Velocity Log &amp; Formaldehyde Product Screening", TRUE, "")</f>
        <v>Main Storefront Floor Slip-Resistance Test &amp; Emergency Exit Illumination Audit</v>
      </c>
      <c r="F13" s="6" t="str" cm="1">
        <f t="array" ref="F13">_xlfn.IFS(TRIM(B13)="Sunshine Coast", "Maintain a minimum 1.0-meter clear width on all stockroom emergency egress paths", TRIM(B13)="Moreton Bay", "Mandatory structural engineering certifications posted on all high-density pallet racking", TRIM(B13)="Gold Coast", "Ensure store layout complies with maximum occupancy limits and floor vectors are kept spill-free", TRIM(B13)="Ipswich", "Provide continuous mechanical ventilation in fabric processing/bulk storage areas to manage off-gassing", TRUE, "")</f>
        <v>Ensure store layout complies with maximum occupancy limits and floor vectors are kept spill-free</v>
      </c>
      <c r="G13" s="6" t="str" cm="1">
        <f t="array" ref="G13">_xlfn.IFS(TRIM(B13)="Sunshine Coast", "Queensland Building and Fire Safety Regulation / MS Loop Clothes Folder", TRIM(B13)="Moreton Bay", "WorkSafe QLD Storage and Warehousing National Code", TRIM(B13)="Gold Coast", "City of Gold Coast Local Retail Planning Schemes", TRIM(B13)="Ipswich", "Australian Consumer Law Textile Standards / Loop Master Register", TRUE, "")</f>
        <v>City of Gold Coast Local Retail Planning Schemes</v>
      </c>
    </row>
    <row r="14" spans="1:9" ht="15.6" x14ac:dyDescent="0.3">
      <c r="A14" s="4" t="s">
        <v>46</v>
      </c>
      <c r="B14" s="6" t="s">
        <v>38</v>
      </c>
      <c r="C14" s="6" t="str" cm="1">
        <f t="array" ref="C14">_xlfn.IFS(TRIM(B14)="Sunshine Coast","Sunshine Coast Council",TRIM(B14)="Moreton Bay","City of Moreton Bay",TRIM(B14)="Gold Coast","City of Gold Coast",TRIM(B14)="Ipswich","Ipswich City Council",TRUE,"")</f>
        <v>Ipswich City Council</v>
      </c>
      <c r="D14" s="6" t="str" cm="1">
        <f t="array" ref="D14">_xlfn.IFS(TRIM(B14)="Sunshine Coast", "High-Density Logistics &amp; Fire Egress Risk", TRIM(B14)="Moreton Bay", "Commercial Apparel Warehousing &amp; Ergonomic Risk", TRIM(B14)="Gold Coast", "Retail Shopfront Public Safety &amp; Crowd Control Risk", TRIM(B14)="Ipswich", "Textile Storage Chemical Treatment &amp; Ventilation Risk", TRUE, "")</f>
        <v>Textile Storage Chemical Treatment &amp; Ventilation Risk</v>
      </c>
      <c r="E14" s="6" t="str" cm="1">
        <f t="array" ref="E14">_xlfn.IFS(TRIM(B14)="Sunshine Coast", "Stockroom Walkway Clearance Audit &amp; Fire Extinguisher Tag Check", TRIM(B14)="Moreton Bay", "High-Level Racking Weight Limit Metric &amp; Manual Handling Training Log", TRIM(B14)="Gold Coast", "Main Storefront Floor Slip-Resistance Test &amp; Emergency Exit Illumination Audit", TRIM(B14)="Ipswich", "Fabric Storage Air-Exchange Velocity Log &amp; Formaldehyde Product Screening", TRUE, "")</f>
        <v>Fabric Storage Air-Exchange Velocity Log &amp; Formaldehyde Product Screening</v>
      </c>
      <c r="F14" s="6" t="str" cm="1">
        <f t="array" ref="F14">_xlfn.IFS(TRIM(B14)="Sunshine Coast", "Maintain a minimum 1.0-meter clear width on all stockroom emergency egress paths", TRIM(B14)="Moreton Bay", "Mandatory structural engineering certifications posted on all high-density pallet racking", TRIM(B14)="Gold Coast", "Ensure store layout complies with maximum occupancy limits and floor vectors are kept spill-free", TRIM(B14)="Ipswich", "Provide continuous mechanical ventilation in fabric processing/bulk storage areas to manage off-gassing", TRUE, "")</f>
        <v>Provide continuous mechanical ventilation in fabric processing/bulk storage areas to manage off-gassing</v>
      </c>
      <c r="G14" s="6" t="str" cm="1">
        <f t="array" ref="G14">_xlfn.IFS(TRIM(B14)="Sunshine Coast", "Queensland Building and Fire Safety Regulation / MS Loop Clothes Folder", TRIM(B14)="Moreton Bay", "WorkSafe QLD Storage and Warehousing National Code", TRIM(B14)="Gold Coast", "City of Gold Coast Local Retail Planning Schemes", TRIM(B14)="Ipswich", "Australian Consumer Law Textile Standards / Loop Master Register", TRUE, "")</f>
        <v>Australian Consumer Law Textile Standards / Loop Master Register</v>
      </c>
    </row>
    <row r="15" spans="1:9" ht="15.6" x14ac:dyDescent="0.3">
      <c r="A15" s="4" t="s">
        <v>30</v>
      </c>
      <c r="B15" s="6" t="s">
        <v>45</v>
      </c>
      <c r="C15" s="6" t="str" cm="1">
        <f t="array" ref="C15">_xlfn.IFS(TRIM(B15)="Sunshine Coast","Sunshine Coast Council",TRIM(B15)="Moreton Bay","City of Moreton Bay",TRIM(B15)="Gold Coast","City of Gold Coast",TRIM(B15)="Ipswich","Ipswich City Council",TRUE,"")</f>
        <v>City of Moreton Bay</v>
      </c>
      <c r="D15" s="6" t="str" cm="1">
        <f t="array" ref="D15">_xlfn.IFS(TRIM(B15)="Sunshine Coast", "High-Density Logistics &amp; Fire Egress Risk", TRIM(B15)="Moreton Bay", "Commercial Apparel Warehousing &amp; Ergonomic Risk", TRIM(B15)="Gold Coast", "Retail Shopfront Public Safety &amp; Crowd Control Risk", TRIM(B15)="Ipswich", "Textile Storage Chemical Treatment &amp; Ventilation Risk", TRUE, "")</f>
        <v>Commercial Apparel Warehousing &amp; Ergonomic Risk</v>
      </c>
      <c r="E15" s="6" t="str" cm="1">
        <f t="array" ref="E15">_xlfn.IFS(TRIM(B15)="Sunshine Coast", "Stockroom Walkway Clearance Audit &amp; Fire Extinguisher Tag Check", TRIM(B15)="Moreton Bay", "High-Level Racking Weight Limit Metric &amp; Manual Handling Training Log", TRIM(B15)="Gold Coast", "Main Storefront Floor Slip-Resistance Test &amp; Emergency Exit Illumination Audit", TRIM(B15)="Ipswich", "Fabric Storage Air-Exchange Velocity Log &amp; Formaldehyde Product Screening", TRUE, "")</f>
        <v>High-Level Racking Weight Limit Metric &amp; Manual Handling Training Log</v>
      </c>
      <c r="F15" s="6" t="str" cm="1">
        <f t="array" ref="F15">_xlfn.IFS(TRIM(B15)="Sunshine Coast", "Maintain a minimum 1.0-meter clear width on all stockroom emergency egress paths", TRIM(B15)="Moreton Bay", "Mandatory structural engineering certifications posted on all high-density pallet racking", TRIM(B15)="Gold Coast", "Ensure store layout complies with maximum occupancy limits and floor vectors are kept spill-free", TRIM(B15)="Ipswich", "Provide continuous mechanical ventilation in fabric processing/bulk storage areas to manage off-gassing", TRUE, "")</f>
        <v>Mandatory structural engineering certifications posted on all high-density pallet racking</v>
      </c>
      <c r="G15" s="6" t="str" cm="1">
        <f t="array" ref="G15">_xlfn.IFS(TRIM(B15)="Sunshine Coast", "Queensland Building and Fire Safety Regulation / MS Loop Clothes Folder", TRIM(B15)="Moreton Bay", "WorkSafe QLD Storage and Warehousing National Code", TRIM(B15)="Gold Coast", "City of Gold Coast Local Retail Planning Schemes", TRIM(B15)="Ipswich", "Australian Consumer Law Textile Standards / Loop Master Register", TRUE, "")</f>
        <v>WorkSafe QLD Storage and Warehousing National Code</v>
      </c>
    </row>
    <row r="16" spans="1:9" ht="15.6" x14ac:dyDescent="0.3">
      <c r="A16" s="4" t="s">
        <v>25</v>
      </c>
      <c r="B16" s="6" t="s">
        <v>45</v>
      </c>
      <c r="C16" s="6" t="str" cm="1">
        <f t="array" ref="C16">_xlfn.IFS(TRIM(B16)="Sunshine Coast","Sunshine Coast Council",TRIM(B16)="Moreton Bay","City of Moreton Bay",TRIM(B16)="Gold Coast","City of Gold Coast",TRIM(B16)="Ipswich","Ipswich City Council",TRUE,"")</f>
        <v>City of Moreton Bay</v>
      </c>
      <c r="D16" s="6" t="str" cm="1">
        <f t="array" ref="D16">_xlfn.IFS(TRIM(B16)="Sunshine Coast", "High-Density Logistics &amp; Fire Egress Risk", TRIM(B16)="Moreton Bay", "Commercial Apparel Warehousing &amp; Ergonomic Risk", TRIM(B16)="Gold Coast", "Retail Shopfront Public Safety &amp; Crowd Control Risk", TRIM(B16)="Ipswich", "Textile Storage Chemical Treatment &amp; Ventilation Risk", TRUE, "")</f>
        <v>Commercial Apparel Warehousing &amp; Ergonomic Risk</v>
      </c>
      <c r="E16" s="6" t="str" cm="1">
        <f t="array" ref="E16">_xlfn.IFS(TRIM(B16)="Sunshine Coast", "Stockroom Walkway Clearance Audit &amp; Fire Extinguisher Tag Check", TRIM(B16)="Moreton Bay", "High-Level Racking Weight Limit Metric &amp; Manual Handling Training Log", TRIM(B16)="Gold Coast", "Main Storefront Floor Slip-Resistance Test &amp; Emergency Exit Illumination Audit", TRIM(B16)="Ipswich", "Fabric Storage Air-Exchange Velocity Log &amp; Formaldehyde Product Screening", TRUE, "")</f>
        <v>High-Level Racking Weight Limit Metric &amp; Manual Handling Training Log</v>
      </c>
      <c r="F16" s="6" t="str" cm="1">
        <f t="array" ref="F16">_xlfn.IFS(TRIM(B16)="Sunshine Coast", "Maintain a minimum 1.0-meter clear width on all stockroom emergency egress paths", TRIM(B16)="Moreton Bay", "Mandatory structural engineering certifications posted on all high-density pallet racking", TRIM(B16)="Gold Coast", "Ensure store layout complies with maximum occupancy limits and floor vectors are kept spill-free", TRIM(B16)="Ipswich", "Provide continuous mechanical ventilation in fabric processing/bulk storage areas to manage off-gassing", TRUE, "")</f>
        <v>Mandatory structural engineering certifications posted on all high-density pallet racking</v>
      </c>
      <c r="G16" s="6" t="str" cm="1">
        <f t="array" ref="G16">_xlfn.IFS(TRIM(B16)="Sunshine Coast", "Queensland Building and Fire Safety Regulation / MS Loop Clothes Folder", TRIM(B16)="Moreton Bay", "WorkSafe QLD Storage and Warehousing National Code", TRIM(B16)="Gold Coast", "City of Gold Coast Local Retail Planning Schemes", TRIM(B16)="Ipswich", "Australian Consumer Law Textile Standards / Loop Master Register", TRUE, "")</f>
        <v>WorkSafe QLD Storage and Warehousing National Code</v>
      </c>
    </row>
    <row r="17" spans="1:7" ht="15" x14ac:dyDescent="0.3">
      <c r="A17" s="3" t="s">
        <v>3</v>
      </c>
      <c r="B17" s="6" t="s">
        <v>43</v>
      </c>
      <c r="C17" s="6" t="str" cm="1">
        <f t="array" ref="C17">_xlfn.IFS(TRIM(B17)="Sunshine Coast","Sunshine Coast Council",TRIM(B17)="Moreton Bay","City of Moreton Bay",TRIM(B17)="Gold Coast","City of Gold Coast",TRIM(B17)="Ipswich","Ipswich City Council",TRUE,"")</f>
        <v>Sunshine Coast Council</v>
      </c>
      <c r="D17" s="6" t="str" cm="1">
        <f t="array" ref="D17">_xlfn.IFS(TRIM(B17)="Sunshine Coast", "High-Density Logistics &amp; Fire Egress Risk", TRIM(B17)="Moreton Bay", "Commercial Apparel Warehousing &amp; Ergonomic Risk", TRIM(B17)="Gold Coast", "Retail Shopfront Public Safety &amp; Crowd Control Risk", TRIM(B17)="Ipswich", "Textile Storage Chemical Treatment &amp; Ventilation Risk", TRUE, "")</f>
        <v>High-Density Logistics &amp; Fire Egress Risk</v>
      </c>
      <c r="E17" s="6" t="str" cm="1">
        <f t="array" ref="E17">_xlfn.IFS(TRIM(B17)="Sunshine Coast", "Stockroom Walkway Clearance Audit &amp; Fire Extinguisher Tag Check", TRIM(B17)="Moreton Bay", "High-Level Racking Weight Limit Metric &amp; Manual Handling Training Log", TRIM(B17)="Gold Coast", "Main Storefront Floor Slip-Resistance Test &amp; Emergency Exit Illumination Audit", TRIM(B17)="Ipswich", "Fabric Storage Air-Exchange Velocity Log &amp; Formaldehyde Product Screening", TRUE, "")</f>
        <v>Stockroom Walkway Clearance Audit &amp; Fire Extinguisher Tag Check</v>
      </c>
      <c r="F17" s="6" t="str" cm="1">
        <f t="array" ref="F17">_xlfn.IFS(TRIM(B17)="Sunshine Coast", "Maintain a minimum 1.0-meter clear width on all stockroom emergency egress paths", TRIM(B17)="Moreton Bay", "Mandatory structural engineering certifications posted on all high-density pallet racking", TRIM(B17)="Gold Coast", "Ensure store layout complies with maximum occupancy limits and floor vectors are kept spill-free", TRIM(B17)="Ipswich", "Provide continuous mechanical ventilation in fabric processing/bulk storage areas to manage off-gassing", TRUE, "")</f>
        <v>Maintain a minimum 1.0-meter clear width on all stockroom emergency egress paths</v>
      </c>
      <c r="G17" s="6" t="str" cm="1">
        <f t="array" ref="G17">_xlfn.IFS(TRIM(B17)="Sunshine Coast", "Queensland Building and Fire Safety Regulation / MS Loop Clothes Folder", TRIM(B17)="Moreton Bay", "WorkSafe QLD Storage and Warehousing National Code", TRIM(B17)="Gold Coast", "City of Gold Coast Local Retail Planning Schemes", TRIM(B17)="Ipswich", "Australian Consumer Law Textile Standards / Loop Master Register", TRUE, "")</f>
        <v>Queensland Building and Fire Safety Regulation / MS Loop Clothes Folder</v>
      </c>
    </row>
    <row r="18" spans="1:7" ht="15.6" x14ac:dyDescent="0.3">
      <c r="A18" s="4" t="s">
        <v>27</v>
      </c>
      <c r="B18" s="6" t="s">
        <v>45</v>
      </c>
      <c r="C18" s="6" t="str" cm="1">
        <f t="array" ref="C18">_xlfn.IFS(TRIM(B18)="Sunshine Coast","Sunshine Coast Council",TRIM(B18)="Moreton Bay","City of Moreton Bay",TRIM(B18)="Gold Coast","City of Gold Coast",TRIM(B18)="Ipswich","Ipswich City Council",TRUE,"")</f>
        <v>City of Moreton Bay</v>
      </c>
      <c r="D18" s="6" t="str" cm="1">
        <f t="array" ref="D18">_xlfn.IFS(TRIM(B18)="Sunshine Coast", "High-Density Logistics &amp; Fire Egress Risk", TRIM(B18)="Moreton Bay", "Commercial Apparel Warehousing &amp; Ergonomic Risk", TRIM(B18)="Gold Coast", "Retail Shopfront Public Safety &amp; Crowd Control Risk", TRIM(B18)="Ipswich", "Textile Storage Chemical Treatment &amp; Ventilation Risk", TRUE, "")</f>
        <v>Commercial Apparel Warehousing &amp; Ergonomic Risk</v>
      </c>
      <c r="E18" s="6" t="str" cm="1">
        <f t="array" ref="E18">_xlfn.IFS(TRIM(B18)="Sunshine Coast", "Stockroom Walkway Clearance Audit &amp; Fire Extinguisher Tag Check", TRIM(B18)="Moreton Bay", "High-Level Racking Weight Limit Metric &amp; Manual Handling Training Log", TRIM(B18)="Gold Coast", "Main Storefront Floor Slip-Resistance Test &amp; Emergency Exit Illumination Audit", TRIM(B18)="Ipswich", "Fabric Storage Air-Exchange Velocity Log &amp; Formaldehyde Product Screening", TRUE, "")</f>
        <v>High-Level Racking Weight Limit Metric &amp; Manual Handling Training Log</v>
      </c>
      <c r="F18" s="6" t="str" cm="1">
        <f t="array" ref="F18">_xlfn.IFS(TRIM(B18)="Sunshine Coast", "Maintain a minimum 1.0-meter clear width on all stockroom emergency egress paths", TRIM(B18)="Moreton Bay", "Mandatory structural engineering certifications posted on all high-density pallet racking", TRIM(B18)="Gold Coast", "Ensure store layout complies with maximum occupancy limits and floor vectors are kept spill-free", TRIM(B18)="Ipswich", "Provide continuous mechanical ventilation in fabric processing/bulk storage areas to manage off-gassing", TRUE, "")</f>
        <v>Mandatory structural engineering certifications posted on all high-density pallet racking</v>
      </c>
      <c r="G18" s="6" t="str" cm="1">
        <f t="array" ref="G18">_xlfn.IFS(TRIM(B18)="Sunshine Coast", "Queensland Building and Fire Safety Regulation / MS Loop Clothes Folder", TRIM(B18)="Moreton Bay", "WorkSafe QLD Storage and Warehousing National Code", TRIM(B18)="Gold Coast", "City of Gold Coast Local Retail Planning Schemes", TRIM(B18)="Ipswich", "Australian Consumer Law Textile Standards / Loop Master Register", TRUE, "")</f>
        <v>WorkSafe QLD Storage and Warehousing National Code</v>
      </c>
    </row>
    <row r="19" spans="1:7" ht="15.6" x14ac:dyDescent="0.3">
      <c r="A19" s="4" t="s">
        <v>28</v>
      </c>
      <c r="B19" s="6" t="s">
        <v>45</v>
      </c>
      <c r="C19" s="6" t="str" cm="1">
        <f t="array" ref="C19">_xlfn.IFS(TRIM(B19)="Sunshine Coast","Sunshine Coast Council",TRIM(B19)="Moreton Bay","City of Moreton Bay",TRIM(B19)="Gold Coast","City of Gold Coast",TRIM(B19)="Ipswich","Ipswich City Council",TRUE,"")</f>
        <v>City of Moreton Bay</v>
      </c>
      <c r="D19" s="6" t="str" cm="1">
        <f t="array" ref="D19">_xlfn.IFS(TRIM(B19)="Sunshine Coast", "High-Density Logistics &amp; Fire Egress Risk", TRIM(B19)="Moreton Bay", "Commercial Apparel Warehousing &amp; Ergonomic Risk", TRIM(B19)="Gold Coast", "Retail Shopfront Public Safety &amp; Crowd Control Risk", TRIM(B19)="Ipswich", "Textile Storage Chemical Treatment &amp; Ventilation Risk", TRUE, "")</f>
        <v>Commercial Apparel Warehousing &amp; Ergonomic Risk</v>
      </c>
      <c r="E19" s="6" t="str" cm="1">
        <f t="array" ref="E19">_xlfn.IFS(TRIM(B19)="Sunshine Coast", "Stockroom Walkway Clearance Audit &amp; Fire Extinguisher Tag Check", TRIM(B19)="Moreton Bay", "High-Level Racking Weight Limit Metric &amp; Manual Handling Training Log", TRIM(B19)="Gold Coast", "Main Storefront Floor Slip-Resistance Test &amp; Emergency Exit Illumination Audit", TRIM(B19)="Ipswich", "Fabric Storage Air-Exchange Velocity Log &amp; Formaldehyde Product Screening", TRUE, "")</f>
        <v>High-Level Racking Weight Limit Metric &amp; Manual Handling Training Log</v>
      </c>
      <c r="F19" s="6" t="str" cm="1">
        <f t="array" ref="F19">_xlfn.IFS(TRIM(B19)="Sunshine Coast", "Maintain a minimum 1.0-meter clear width on all stockroom emergency egress paths", TRIM(B19)="Moreton Bay", "Mandatory structural engineering certifications posted on all high-density pallet racking", TRIM(B19)="Gold Coast", "Ensure store layout complies with maximum occupancy limits and floor vectors are kept spill-free", TRIM(B19)="Ipswich", "Provide continuous mechanical ventilation in fabric processing/bulk storage areas to manage off-gassing", TRUE, "")</f>
        <v>Mandatory structural engineering certifications posted on all high-density pallet racking</v>
      </c>
      <c r="G19" s="6" t="str" cm="1">
        <f t="array" ref="G19">_xlfn.IFS(TRIM(B19)="Sunshine Coast", "Queensland Building and Fire Safety Regulation / MS Loop Clothes Folder", TRIM(B19)="Moreton Bay", "WorkSafe QLD Storage and Warehousing National Code", TRIM(B19)="Gold Coast", "City of Gold Coast Local Retail Planning Schemes", TRIM(B19)="Ipswich", "Australian Consumer Law Textile Standards / Loop Master Register", TRUE, "")</f>
        <v>WorkSafe QLD Storage and Warehousing National Code</v>
      </c>
    </row>
    <row r="20" spans="1:7" ht="15" x14ac:dyDescent="0.3">
      <c r="A20" s="3" t="s">
        <v>4</v>
      </c>
      <c r="B20" s="6" t="s">
        <v>43</v>
      </c>
      <c r="C20" s="6" t="str" cm="1">
        <f t="array" ref="C20">_xlfn.IFS(TRIM(B20)="Sunshine Coast","Sunshine Coast Council",TRIM(B20)="Moreton Bay","City of Moreton Bay",TRIM(B20)="Gold Coast","City of Gold Coast",TRIM(B20)="Ipswich","Ipswich City Council",TRUE,"")</f>
        <v>Sunshine Coast Council</v>
      </c>
      <c r="D20" s="6" t="str" cm="1">
        <f t="array" ref="D20">_xlfn.IFS(TRIM(B20)="Sunshine Coast", "High-Density Logistics &amp; Fire Egress Risk", TRIM(B20)="Moreton Bay", "Commercial Apparel Warehousing &amp; Ergonomic Risk", TRIM(B20)="Gold Coast", "Retail Shopfront Public Safety &amp; Crowd Control Risk", TRIM(B20)="Ipswich", "Textile Storage Chemical Treatment &amp; Ventilation Risk", TRUE, "")</f>
        <v>High-Density Logistics &amp; Fire Egress Risk</v>
      </c>
      <c r="E20" s="6" t="str" cm="1">
        <f t="array" ref="E20">_xlfn.IFS(TRIM(B20)="Sunshine Coast", "Stockroom Walkway Clearance Audit &amp; Fire Extinguisher Tag Check", TRIM(B20)="Moreton Bay", "High-Level Racking Weight Limit Metric &amp; Manual Handling Training Log", TRIM(B20)="Gold Coast", "Main Storefront Floor Slip-Resistance Test &amp; Emergency Exit Illumination Audit", TRIM(B20)="Ipswich", "Fabric Storage Air-Exchange Velocity Log &amp; Formaldehyde Product Screening", TRUE, "")</f>
        <v>Stockroom Walkway Clearance Audit &amp; Fire Extinguisher Tag Check</v>
      </c>
      <c r="F20" s="6" t="str" cm="1">
        <f t="array" ref="F20">_xlfn.IFS(TRIM(B20)="Sunshine Coast", "Maintain a minimum 1.0-meter clear width on all stockroom emergency egress paths", TRIM(B20)="Moreton Bay", "Mandatory structural engineering certifications posted on all high-density pallet racking", TRIM(B20)="Gold Coast", "Ensure store layout complies with maximum occupancy limits and floor vectors are kept spill-free", TRIM(B20)="Ipswich", "Provide continuous mechanical ventilation in fabric processing/bulk storage areas to manage off-gassing", TRUE, "")</f>
        <v>Maintain a minimum 1.0-meter clear width on all stockroom emergency egress paths</v>
      </c>
      <c r="G20" s="6" t="str" cm="1">
        <f t="array" ref="G20">_xlfn.IFS(TRIM(B20)="Sunshine Coast", "Queensland Building and Fire Safety Regulation / MS Loop Clothes Folder", TRIM(B20)="Moreton Bay", "WorkSafe QLD Storage and Warehousing National Code", TRIM(B20)="Gold Coast", "City of Gold Coast Local Retail Planning Schemes", TRIM(B20)="Ipswich", "Australian Consumer Law Textile Standards / Loop Master Register", TRUE, "")</f>
        <v>Queensland Building and Fire Safety Regulation / MS Loop Clothes Folder</v>
      </c>
    </row>
    <row r="21" spans="1:7" ht="15.6" x14ac:dyDescent="0.3">
      <c r="A21" s="4" t="s">
        <v>33</v>
      </c>
      <c r="B21" s="6" t="s">
        <v>45</v>
      </c>
      <c r="C21" s="6" t="str" cm="1">
        <f t="array" ref="C21">_xlfn.IFS(TRIM(B21)="Sunshine Coast","Sunshine Coast Council",TRIM(B21)="Moreton Bay","City of Moreton Bay",TRIM(B21)="Gold Coast","City of Gold Coast",TRIM(B21)="Ipswich","Ipswich City Council",TRUE,"")</f>
        <v>City of Moreton Bay</v>
      </c>
      <c r="D21" s="6" t="str" cm="1">
        <f t="array" ref="D21">_xlfn.IFS(TRIM(B21)="Sunshine Coast", "High-Density Logistics &amp; Fire Egress Risk", TRIM(B21)="Moreton Bay", "Commercial Apparel Warehousing &amp; Ergonomic Risk", TRIM(B21)="Gold Coast", "Retail Shopfront Public Safety &amp; Crowd Control Risk", TRIM(B21)="Ipswich", "Textile Storage Chemical Treatment &amp; Ventilation Risk", TRUE, "")</f>
        <v>Commercial Apparel Warehousing &amp; Ergonomic Risk</v>
      </c>
      <c r="E21" s="6" t="str" cm="1">
        <f t="array" ref="E21">_xlfn.IFS(TRIM(B21)="Sunshine Coast", "Stockroom Walkway Clearance Audit &amp; Fire Extinguisher Tag Check", TRIM(B21)="Moreton Bay", "High-Level Racking Weight Limit Metric &amp; Manual Handling Training Log", TRIM(B21)="Gold Coast", "Main Storefront Floor Slip-Resistance Test &amp; Emergency Exit Illumination Audit", TRIM(B21)="Ipswich", "Fabric Storage Air-Exchange Velocity Log &amp; Formaldehyde Product Screening", TRUE, "")</f>
        <v>High-Level Racking Weight Limit Metric &amp; Manual Handling Training Log</v>
      </c>
      <c r="F21" s="6" t="str" cm="1">
        <f t="array" ref="F21">_xlfn.IFS(TRIM(B21)="Sunshine Coast", "Maintain a minimum 1.0-meter clear width on all stockroom emergency egress paths", TRIM(B21)="Moreton Bay", "Mandatory structural engineering certifications posted on all high-density pallet racking", TRIM(B21)="Gold Coast", "Ensure store layout complies with maximum occupancy limits and floor vectors are kept spill-free", TRIM(B21)="Ipswich", "Provide continuous mechanical ventilation in fabric processing/bulk storage areas to manage off-gassing", TRUE, "")</f>
        <v>Mandatory structural engineering certifications posted on all high-density pallet racking</v>
      </c>
      <c r="G21" s="6" t="str" cm="1">
        <f t="array" ref="G21">_xlfn.IFS(TRIM(B21)="Sunshine Coast", "Queensland Building and Fire Safety Regulation / MS Loop Clothes Folder", TRIM(B21)="Moreton Bay", "WorkSafe QLD Storage and Warehousing National Code", TRIM(B21)="Gold Coast", "City of Gold Coast Local Retail Planning Schemes", TRIM(B21)="Ipswich", "Australian Consumer Law Textile Standards / Loop Master Register", TRUE, "")</f>
        <v>WorkSafe QLD Storage and Warehousing National Code</v>
      </c>
    </row>
    <row r="22" spans="1:7" ht="15.6" x14ac:dyDescent="0.3">
      <c r="A22" s="4" t="s">
        <v>29</v>
      </c>
      <c r="B22" s="6" t="s">
        <v>45</v>
      </c>
      <c r="C22" s="6" t="str" cm="1">
        <f t="array" ref="C22">_xlfn.IFS(TRIM(B22)="Sunshine Coast","Sunshine Coast Council",TRIM(B22)="Moreton Bay","City of Moreton Bay",TRIM(B22)="Gold Coast","City of Gold Coast",TRIM(B22)="Ipswich","Ipswich City Council",TRUE,"")</f>
        <v>City of Moreton Bay</v>
      </c>
      <c r="D22" s="6" t="str" cm="1">
        <f t="array" ref="D22">_xlfn.IFS(TRIM(B22)="Sunshine Coast", "High-Density Logistics &amp; Fire Egress Risk", TRIM(B22)="Moreton Bay", "Commercial Apparel Warehousing &amp; Ergonomic Risk", TRIM(B22)="Gold Coast", "Retail Shopfront Public Safety &amp; Crowd Control Risk", TRIM(B22)="Ipswich", "Textile Storage Chemical Treatment &amp; Ventilation Risk", TRUE, "")</f>
        <v>Commercial Apparel Warehousing &amp; Ergonomic Risk</v>
      </c>
      <c r="E22" s="6" t="str" cm="1">
        <f t="array" ref="E22">_xlfn.IFS(TRIM(B22)="Sunshine Coast", "Stockroom Walkway Clearance Audit &amp; Fire Extinguisher Tag Check", TRIM(B22)="Moreton Bay", "High-Level Racking Weight Limit Metric &amp; Manual Handling Training Log", TRIM(B22)="Gold Coast", "Main Storefront Floor Slip-Resistance Test &amp; Emergency Exit Illumination Audit", TRIM(B22)="Ipswich", "Fabric Storage Air-Exchange Velocity Log &amp; Formaldehyde Product Screening", TRUE, "")</f>
        <v>High-Level Racking Weight Limit Metric &amp; Manual Handling Training Log</v>
      </c>
      <c r="F22" s="6" t="str" cm="1">
        <f t="array" ref="F22">_xlfn.IFS(TRIM(B22)="Sunshine Coast", "Maintain a minimum 1.0-meter clear width on all stockroom emergency egress paths", TRIM(B22)="Moreton Bay", "Mandatory structural engineering certifications posted on all high-density pallet racking", TRIM(B22)="Gold Coast", "Ensure store layout complies with maximum occupancy limits and floor vectors are kept spill-free", TRIM(B22)="Ipswich", "Provide continuous mechanical ventilation in fabric processing/bulk storage areas to manage off-gassing", TRUE, "")</f>
        <v>Mandatory structural engineering certifications posted on all high-density pallet racking</v>
      </c>
      <c r="G22" s="6" t="str" cm="1">
        <f t="array" ref="G22">_xlfn.IFS(TRIM(B22)="Sunshine Coast", "Queensland Building and Fire Safety Regulation / MS Loop Clothes Folder", TRIM(B22)="Moreton Bay", "WorkSafe QLD Storage and Warehousing National Code", TRIM(B22)="Gold Coast", "City of Gold Coast Local Retail Planning Schemes", TRIM(B22)="Ipswich", "Australian Consumer Law Textile Standards / Loop Master Register", TRUE, "")</f>
        <v>WorkSafe QLD Storage and Warehousing National Code</v>
      </c>
    </row>
    <row r="23" spans="1:7" ht="15" x14ac:dyDescent="0.3">
      <c r="A23" s="3" t="s">
        <v>8</v>
      </c>
      <c r="B23" s="6" t="s">
        <v>43</v>
      </c>
      <c r="C23" s="6" t="str" cm="1">
        <f t="array" ref="C23">_xlfn.IFS(TRIM(B23)="Sunshine Coast","Sunshine Coast Council",TRIM(B23)="Moreton Bay","City of Moreton Bay",TRIM(B23)="Gold Coast","City of Gold Coast",TRIM(B23)="Ipswich","Ipswich City Council",TRUE,"")</f>
        <v>Sunshine Coast Council</v>
      </c>
      <c r="D23" s="6" t="str" cm="1">
        <f t="array" ref="D23">_xlfn.IFS(TRIM(B23)="Sunshine Coast", "High-Density Logistics &amp; Fire Egress Risk", TRIM(B23)="Moreton Bay", "Commercial Apparel Warehousing &amp; Ergonomic Risk", TRIM(B23)="Gold Coast", "Retail Shopfront Public Safety &amp; Crowd Control Risk", TRIM(B23)="Ipswich", "Textile Storage Chemical Treatment &amp; Ventilation Risk", TRUE, "")</f>
        <v>High-Density Logistics &amp; Fire Egress Risk</v>
      </c>
      <c r="E23" s="6" t="str" cm="1">
        <f t="array" ref="E23">_xlfn.IFS(TRIM(B23)="Sunshine Coast", "Stockroom Walkway Clearance Audit &amp; Fire Extinguisher Tag Check", TRIM(B23)="Moreton Bay", "High-Level Racking Weight Limit Metric &amp; Manual Handling Training Log", TRIM(B23)="Gold Coast", "Main Storefront Floor Slip-Resistance Test &amp; Emergency Exit Illumination Audit", TRIM(B23)="Ipswich", "Fabric Storage Air-Exchange Velocity Log &amp; Formaldehyde Product Screening", TRUE, "")</f>
        <v>Stockroom Walkway Clearance Audit &amp; Fire Extinguisher Tag Check</v>
      </c>
      <c r="F23" s="6" t="str" cm="1">
        <f t="array" ref="F23">_xlfn.IFS(TRIM(B23)="Sunshine Coast", "Maintain a minimum 1.0-meter clear width on all stockroom emergency egress paths", TRIM(B23)="Moreton Bay", "Mandatory structural engineering certifications posted on all high-density pallet racking", TRIM(B23)="Gold Coast", "Ensure store layout complies with maximum occupancy limits and floor vectors are kept spill-free", TRIM(B23)="Ipswich", "Provide continuous mechanical ventilation in fabric processing/bulk storage areas to manage off-gassing", TRUE, "")</f>
        <v>Maintain a minimum 1.0-meter clear width on all stockroom emergency egress paths</v>
      </c>
      <c r="G23" s="6" t="str" cm="1">
        <f t="array" ref="G23">_xlfn.IFS(TRIM(B23)="Sunshine Coast", "Queensland Building and Fire Safety Regulation / MS Loop Clothes Folder", TRIM(B23)="Moreton Bay", "WorkSafe QLD Storage and Warehousing National Code", TRIM(B23)="Gold Coast", "City of Gold Coast Local Retail Planning Schemes", TRIM(B23)="Ipswich", "Australian Consumer Law Textile Standards / Loop Master Register", TRUE, "")</f>
        <v>Queensland Building and Fire Safety Regulation / MS Loop Clothes Folder</v>
      </c>
    </row>
    <row r="24" spans="1:7" ht="15.6" x14ac:dyDescent="0.3">
      <c r="A24" s="4" t="s">
        <v>35</v>
      </c>
      <c r="B24" s="6" t="s">
        <v>45</v>
      </c>
      <c r="C24" s="6" t="str" cm="1">
        <f t="array" ref="C24">_xlfn.IFS(TRIM(B24)="Sunshine Coast","Sunshine Coast Council",TRIM(B24)="Moreton Bay","City of Moreton Bay",TRIM(B24)="Gold Coast","City of Gold Coast",TRIM(B24)="Ipswich","Ipswich City Council",TRUE,"")</f>
        <v>City of Moreton Bay</v>
      </c>
      <c r="D24" s="6" t="str" cm="1">
        <f t="array" ref="D24">_xlfn.IFS(TRIM(B24)="Sunshine Coast", "High-Density Logistics &amp; Fire Egress Risk", TRIM(B24)="Moreton Bay", "Commercial Apparel Warehousing &amp; Ergonomic Risk", TRIM(B24)="Gold Coast", "Retail Shopfront Public Safety &amp; Crowd Control Risk", TRIM(B24)="Ipswich", "Textile Storage Chemical Treatment &amp; Ventilation Risk", TRUE, "")</f>
        <v>Commercial Apparel Warehousing &amp; Ergonomic Risk</v>
      </c>
      <c r="E24" s="6" t="str" cm="1">
        <f t="array" ref="E24">_xlfn.IFS(TRIM(B24)="Sunshine Coast", "Stockroom Walkway Clearance Audit &amp; Fire Extinguisher Tag Check", TRIM(B24)="Moreton Bay", "High-Level Racking Weight Limit Metric &amp; Manual Handling Training Log", TRIM(B24)="Gold Coast", "Main Storefront Floor Slip-Resistance Test &amp; Emergency Exit Illumination Audit", TRIM(B24)="Ipswich", "Fabric Storage Air-Exchange Velocity Log &amp; Formaldehyde Product Screening", TRUE, "")</f>
        <v>High-Level Racking Weight Limit Metric &amp; Manual Handling Training Log</v>
      </c>
      <c r="F24" s="6" t="str" cm="1">
        <f t="array" ref="F24">_xlfn.IFS(TRIM(B24)="Sunshine Coast", "Maintain a minimum 1.0-meter clear width on all stockroom emergency egress paths", TRIM(B24)="Moreton Bay", "Mandatory structural engineering certifications posted on all high-density pallet racking", TRIM(B24)="Gold Coast", "Ensure store layout complies with maximum occupancy limits and floor vectors are kept spill-free", TRIM(B24)="Ipswich", "Provide continuous mechanical ventilation in fabric processing/bulk storage areas to manage off-gassing", TRUE, "")</f>
        <v>Mandatory structural engineering certifications posted on all high-density pallet racking</v>
      </c>
      <c r="G24" s="6" t="str" cm="1">
        <f t="array" ref="G24">_xlfn.IFS(TRIM(B24)="Sunshine Coast", "Queensland Building and Fire Safety Regulation / MS Loop Clothes Folder", TRIM(B24)="Moreton Bay", "WorkSafe QLD Storage and Warehousing National Code", TRIM(B24)="Gold Coast", "City of Gold Coast Local Retail Planning Schemes", TRIM(B24)="Ipswich", "Australian Consumer Law Textile Standards / Loop Master Register", TRUE, "")</f>
        <v>WorkSafe QLD Storage and Warehousing National Code</v>
      </c>
    </row>
    <row r="25" spans="1:7" ht="15.6" x14ac:dyDescent="0.3">
      <c r="A25" s="4" t="s">
        <v>22</v>
      </c>
      <c r="B25" s="6" t="s">
        <v>44</v>
      </c>
      <c r="C25" s="6" t="str" cm="1">
        <f t="array" ref="C25">_xlfn.IFS(TRIM(B25)="Sunshine Coast","Sunshine Coast Council",TRIM(B25)="Moreton Bay","City of Moreton Bay",TRIM(B25)="Gold Coast","City of Gold Coast",TRIM(B25)="Ipswich","Ipswich City Council",TRUE,"")</f>
        <v>City of Gold Coast</v>
      </c>
      <c r="D25" s="6" t="str" cm="1">
        <f t="array" ref="D25">_xlfn.IFS(TRIM(B25)="Sunshine Coast", "High-Density Logistics &amp; Fire Egress Risk", TRIM(B25)="Moreton Bay", "Commercial Apparel Warehousing &amp; Ergonomic Risk", TRIM(B25)="Gold Coast", "Retail Shopfront Public Safety &amp; Crowd Control Risk", TRIM(B25)="Ipswich", "Textile Storage Chemical Treatment &amp; Ventilation Risk", TRUE, "")</f>
        <v>Retail Shopfront Public Safety &amp; Crowd Control Risk</v>
      </c>
      <c r="E25" s="6" t="str" cm="1">
        <f t="array" ref="E25">_xlfn.IFS(TRIM(B25)="Sunshine Coast", "Stockroom Walkway Clearance Audit &amp; Fire Extinguisher Tag Check", TRIM(B25)="Moreton Bay", "High-Level Racking Weight Limit Metric &amp; Manual Handling Training Log", TRIM(B25)="Gold Coast", "Main Storefront Floor Slip-Resistance Test &amp; Emergency Exit Illumination Audit", TRIM(B25)="Ipswich", "Fabric Storage Air-Exchange Velocity Log &amp; Formaldehyde Product Screening", TRUE, "")</f>
        <v>Main Storefront Floor Slip-Resistance Test &amp; Emergency Exit Illumination Audit</v>
      </c>
      <c r="F25" s="6" t="str" cm="1">
        <f t="array" ref="F25">_xlfn.IFS(TRIM(B25)="Sunshine Coast", "Maintain a minimum 1.0-meter clear width on all stockroom emergency egress paths", TRIM(B25)="Moreton Bay", "Mandatory structural engineering certifications posted on all high-density pallet racking", TRIM(B25)="Gold Coast", "Ensure store layout complies with maximum occupancy limits and floor vectors are kept spill-free", TRIM(B25)="Ipswich", "Provide continuous mechanical ventilation in fabric processing/bulk storage areas to manage off-gassing", TRUE, "")</f>
        <v>Ensure store layout complies with maximum occupancy limits and floor vectors are kept spill-free</v>
      </c>
      <c r="G25" s="6" t="str" cm="1">
        <f t="array" ref="G25">_xlfn.IFS(TRIM(B25)="Sunshine Coast", "Queensland Building and Fire Safety Regulation / MS Loop Clothes Folder", TRIM(B25)="Moreton Bay", "WorkSafe QLD Storage and Warehousing National Code", TRIM(B25)="Gold Coast", "City of Gold Coast Local Retail Planning Schemes", TRIM(B25)="Ipswich", "Australian Consumer Law Textile Standards / Loop Master Register", TRUE, "")</f>
        <v>City of Gold Coast Local Retail Planning Schemes</v>
      </c>
    </row>
    <row r="26" spans="1:7" ht="15.6" x14ac:dyDescent="0.3">
      <c r="A26" s="4" t="s">
        <v>17</v>
      </c>
      <c r="B26" s="6" t="s">
        <v>44</v>
      </c>
      <c r="C26" s="6" t="str" cm="1">
        <f t="array" ref="C26">_xlfn.IFS(TRIM(B26)="Sunshine Coast","Sunshine Coast Council",TRIM(B26)="Moreton Bay","City of Moreton Bay",TRIM(B26)="Gold Coast","City of Gold Coast",TRIM(B26)="Ipswich","Ipswich City Council",TRUE,"")</f>
        <v>City of Gold Coast</v>
      </c>
      <c r="D26" s="6" t="str" cm="1">
        <f t="array" ref="D26">_xlfn.IFS(TRIM(B26)="Sunshine Coast", "High-Density Logistics &amp; Fire Egress Risk", TRIM(B26)="Moreton Bay", "Commercial Apparel Warehousing &amp; Ergonomic Risk", TRIM(B26)="Gold Coast", "Retail Shopfront Public Safety &amp; Crowd Control Risk", TRIM(B26)="Ipswich", "Textile Storage Chemical Treatment &amp; Ventilation Risk", TRUE, "")</f>
        <v>Retail Shopfront Public Safety &amp; Crowd Control Risk</v>
      </c>
      <c r="E26" s="6" t="str" cm="1">
        <f t="array" ref="E26">_xlfn.IFS(TRIM(B26)="Sunshine Coast", "Stockroom Walkway Clearance Audit &amp; Fire Extinguisher Tag Check", TRIM(B26)="Moreton Bay", "High-Level Racking Weight Limit Metric &amp; Manual Handling Training Log", TRIM(B26)="Gold Coast", "Main Storefront Floor Slip-Resistance Test &amp; Emergency Exit Illumination Audit", TRIM(B26)="Ipswich", "Fabric Storage Air-Exchange Velocity Log &amp; Formaldehyde Product Screening", TRUE, "")</f>
        <v>Main Storefront Floor Slip-Resistance Test &amp; Emergency Exit Illumination Audit</v>
      </c>
      <c r="F26" s="6" t="str" cm="1">
        <f t="array" ref="F26">_xlfn.IFS(TRIM(B26)="Sunshine Coast", "Maintain a minimum 1.0-meter clear width on all stockroom emergency egress paths", TRIM(B26)="Moreton Bay", "Mandatory structural engineering certifications posted on all high-density pallet racking", TRIM(B26)="Gold Coast", "Ensure store layout complies with maximum occupancy limits and floor vectors are kept spill-free", TRIM(B26)="Ipswich", "Provide continuous mechanical ventilation in fabric processing/bulk storage areas to manage off-gassing", TRUE, "")</f>
        <v>Ensure store layout complies with maximum occupancy limits and floor vectors are kept spill-free</v>
      </c>
      <c r="G26" s="6" t="str" cm="1">
        <f t="array" ref="G26">_xlfn.IFS(TRIM(B26)="Sunshine Coast", "Queensland Building and Fire Safety Regulation / MS Loop Clothes Folder", TRIM(B26)="Moreton Bay", "WorkSafe QLD Storage and Warehousing National Code", TRIM(B26)="Gold Coast", "City of Gold Coast Local Retail Planning Schemes", TRIM(B26)="Ipswich", "Australian Consumer Law Textile Standards / Loop Master Register", TRUE, "")</f>
        <v>City of Gold Coast Local Retail Planning Schemes</v>
      </c>
    </row>
    <row r="27" spans="1:7" ht="15" x14ac:dyDescent="0.3">
      <c r="A27" s="3" t="s">
        <v>6</v>
      </c>
      <c r="B27" s="6" t="s">
        <v>43</v>
      </c>
      <c r="C27" s="6" t="str" cm="1">
        <f t="array" ref="C27">_xlfn.IFS(TRIM(B27)="Sunshine Coast","Sunshine Coast Council",TRIM(B27)="Moreton Bay","City of Moreton Bay",TRIM(B27)="Gold Coast","City of Gold Coast",TRIM(B27)="Ipswich","Ipswich City Council",TRUE,"")</f>
        <v>Sunshine Coast Council</v>
      </c>
      <c r="D27" s="6" t="str" cm="1">
        <f t="array" ref="D27">_xlfn.IFS(TRIM(B27)="Sunshine Coast", "High-Density Logistics &amp; Fire Egress Risk", TRIM(B27)="Moreton Bay", "Commercial Apparel Warehousing &amp; Ergonomic Risk", TRIM(B27)="Gold Coast", "Retail Shopfront Public Safety &amp; Crowd Control Risk", TRIM(B27)="Ipswich", "Textile Storage Chemical Treatment &amp; Ventilation Risk", TRUE, "")</f>
        <v>High-Density Logistics &amp; Fire Egress Risk</v>
      </c>
      <c r="E27" s="6" t="str" cm="1">
        <f t="array" ref="E27">_xlfn.IFS(TRIM(B27)="Sunshine Coast", "Stockroom Walkway Clearance Audit &amp; Fire Extinguisher Tag Check", TRIM(B27)="Moreton Bay", "High-Level Racking Weight Limit Metric &amp; Manual Handling Training Log", TRIM(B27)="Gold Coast", "Main Storefront Floor Slip-Resistance Test &amp; Emergency Exit Illumination Audit", TRIM(B27)="Ipswich", "Fabric Storage Air-Exchange Velocity Log &amp; Formaldehyde Product Screening", TRUE, "")</f>
        <v>Stockroom Walkway Clearance Audit &amp; Fire Extinguisher Tag Check</v>
      </c>
      <c r="F27" s="6" t="str" cm="1">
        <f t="array" ref="F27">_xlfn.IFS(TRIM(B27)="Sunshine Coast", "Maintain a minimum 1.0-meter clear width on all stockroom emergency egress paths", TRIM(B27)="Moreton Bay", "Mandatory structural engineering certifications posted on all high-density pallet racking", TRIM(B27)="Gold Coast", "Ensure store layout complies with maximum occupancy limits and floor vectors are kept spill-free", TRIM(B27)="Ipswich", "Provide continuous mechanical ventilation in fabric processing/bulk storage areas to manage off-gassing", TRUE, "")</f>
        <v>Maintain a minimum 1.0-meter clear width on all stockroom emergency egress paths</v>
      </c>
      <c r="G27" s="6" t="str" cm="1">
        <f t="array" ref="G27">_xlfn.IFS(TRIM(B27)="Sunshine Coast", "Queensland Building and Fire Safety Regulation / MS Loop Clothes Folder", TRIM(B27)="Moreton Bay", "WorkSafe QLD Storage and Warehousing National Code", TRIM(B27)="Gold Coast", "City of Gold Coast Local Retail Planning Schemes", TRIM(B27)="Ipswich", "Australian Consumer Law Textile Standards / Loop Master Register", TRUE, "")</f>
        <v>Queensland Building and Fire Safety Regulation / MS Loop Clothes Folder</v>
      </c>
    </row>
    <row r="28" spans="1:7" ht="15.6" x14ac:dyDescent="0.3">
      <c r="A28" s="4" t="s">
        <v>31</v>
      </c>
      <c r="B28" s="6" t="s">
        <v>45</v>
      </c>
      <c r="C28" s="6" t="str" cm="1">
        <f t="array" ref="C28">_xlfn.IFS(TRIM(B28)="Sunshine Coast","Sunshine Coast Council",TRIM(B28)="Moreton Bay","City of Moreton Bay",TRIM(B28)="Gold Coast","City of Gold Coast",TRIM(B28)="Ipswich","Ipswich City Council",TRUE,"")</f>
        <v>City of Moreton Bay</v>
      </c>
      <c r="D28" s="6" t="str" cm="1">
        <f t="array" ref="D28">_xlfn.IFS(TRIM(B28)="Sunshine Coast", "High-Density Logistics &amp; Fire Egress Risk", TRIM(B28)="Moreton Bay", "Commercial Apparel Warehousing &amp; Ergonomic Risk", TRIM(B28)="Gold Coast", "Retail Shopfront Public Safety &amp; Crowd Control Risk", TRIM(B28)="Ipswich", "Textile Storage Chemical Treatment &amp; Ventilation Risk", TRUE, "")</f>
        <v>Commercial Apparel Warehousing &amp; Ergonomic Risk</v>
      </c>
      <c r="E28" s="6" t="str" cm="1">
        <f t="array" ref="E28">_xlfn.IFS(TRIM(B28)="Sunshine Coast", "Stockroom Walkway Clearance Audit &amp; Fire Extinguisher Tag Check", TRIM(B28)="Moreton Bay", "High-Level Racking Weight Limit Metric &amp; Manual Handling Training Log", TRIM(B28)="Gold Coast", "Main Storefront Floor Slip-Resistance Test &amp; Emergency Exit Illumination Audit", TRIM(B28)="Ipswich", "Fabric Storage Air-Exchange Velocity Log &amp; Formaldehyde Product Screening", TRUE, "")</f>
        <v>High-Level Racking Weight Limit Metric &amp; Manual Handling Training Log</v>
      </c>
      <c r="F28" s="6" t="str" cm="1">
        <f t="array" ref="F28">_xlfn.IFS(TRIM(B28)="Sunshine Coast", "Maintain a minimum 1.0-meter clear width on all stockroom emergency egress paths", TRIM(B28)="Moreton Bay", "Mandatory structural engineering certifications posted on all high-density pallet racking", TRIM(B28)="Gold Coast", "Ensure store layout complies with maximum occupancy limits and floor vectors are kept spill-free", TRIM(B28)="Ipswich", "Provide continuous mechanical ventilation in fabric processing/bulk storage areas to manage off-gassing", TRUE, "")</f>
        <v>Mandatory structural engineering certifications posted on all high-density pallet racking</v>
      </c>
      <c r="G28" s="6" t="str" cm="1">
        <f t="array" ref="G28">_xlfn.IFS(TRIM(B28)="Sunshine Coast", "Queensland Building and Fire Safety Regulation / MS Loop Clothes Folder", TRIM(B28)="Moreton Bay", "WorkSafe QLD Storage and Warehousing National Code", TRIM(B28)="Gold Coast", "City of Gold Coast Local Retail Planning Schemes", TRIM(B28)="Ipswich", "Australian Consumer Law Textile Standards / Loop Master Register", TRUE, "")</f>
        <v>WorkSafe QLD Storage and Warehousing National Code</v>
      </c>
    </row>
    <row r="29" spans="1:7" ht="15.6" x14ac:dyDescent="0.3">
      <c r="A29" s="4" t="s">
        <v>18</v>
      </c>
      <c r="B29" s="6" t="s">
        <v>44</v>
      </c>
      <c r="C29" s="6" t="str" cm="1">
        <f t="array" ref="C29">_xlfn.IFS(TRIM(B29)="Sunshine Coast","Sunshine Coast Council",TRIM(B29)="Moreton Bay","City of Moreton Bay",TRIM(B29)="Gold Coast","City of Gold Coast",TRIM(B29)="Ipswich","Ipswich City Council",TRUE,"")</f>
        <v>City of Gold Coast</v>
      </c>
      <c r="D29" s="6" t="str" cm="1">
        <f t="array" ref="D29">_xlfn.IFS(TRIM(B29)="Sunshine Coast", "High-Density Logistics &amp; Fire Egress Risk", TRIM(B29)="Moreton Bay", "Commercial Apparel Warehousing &amp; Ergonomic Risk", TRIM(B29)="Gold Coast", "Retail Shopfront Public Safety &amp; Crowd Control Risk", TRIM(B29)="Ipswich", "Textile Storage Chemical Treatment &amp; Ventilation Risk", TRUE, "")</f>
        <v>Retail Shopfront Public Safety &amp; Crowd Control Risk</v>
      </c>
      <c r="E29" s="6" t="str" cm="1">
        <f t="array" ref="E29">_xlfn.IFS(TRIM(B29)="Sunshine Coast", "Stockroom Walkway Clearance Audit &amp; Fire Extinguisher Tag Check", TRIM(B29)="Moreton Bay", "High-Level Racking Weight Limit Metric &amp; Manual Handling Training Log", TRIM(B29)="Gold Coast", "Main Storefront Floor Slip-Resistance Test &amp; Emergency Exit Illumination Audit", TRIM(B29)="Ipswich", "Fabric Storage Air-Exchange Velocity Log &amp; Formaldehyde Product Screening", TRUE, "")</f>
        <v>Main Storefront Floor Slip-Resistance Test &amp; Emergency Exit Illumination Audit</v>
      </c>
      <c r="F29" s="6" t="str" cm="1">
        <f t="array" ref="F29">_xlfn.IFS(TRIM(B29)="Sunshine Coast", "Maintain a minimum 1.0-meter clear width on all stockroom emergency egress paths", TRIM(B29)="Moreton Bay", "Mandatory structural engineering certifications posted on all high-density pallet racking", TRIM(B29)="Gold Coast", "Ensure store layout complies with maximum occupancy limits and floor vectors are kept spill-free", TRIM(B29)="Ipswich", "Provide continuous mechanical ventilation in fabric processing/bulk storage areas to manage off-gassing", TRUE, "")</f>
        <v>Ensure store layout complies with maximum occupancy limits and floor vectors are kept spill-free</v>
      </c>
      <c r="G29" s="6" t="str" cm="1">
        <f t="array" ref="G29">_xlfn.IFS(TRIM(B29)="Sunshine Coast", "Queensland Building and Fire Safety Regulation / MS Loop Clothes Folder", TRIM(B29)="Moreton Bay", "WorkSafe QLD Storage and Warehousing National Code", TRIM(B29)="Gold Coast", "City of Gold Coast Local Retail Planning Schemes", TRIM(B29)="Ipswich", "Australian Consumer Law Textile Standards / Loop Master Register", TRUE, "")</f>
        <v>City of Gold Coast Local Retail Planning Schemes</v>
      </c>
    </row>
    <row r="30" spans="1:7" ht="15.6" x14ac:dyDescent="0.3">
      <c r="A30" s="4" t="s">
        <v>37</v>
      </c>
      <c r="B30" s="6" t="s">
        <v>38</v>
      </c>
      <c r="C30" s="6" t="str" cm="1">
        <f t="array" ref="C30">_xlfn.IFS(TRIM(B30)="Sunshine Coast","Sunshine Coast Council",TRIM(B30)="Moreton Bay","City of Moreton Bay",TRIM(B30)="Gold Coast","City of Gold Coast",TRIM(B30)="Ipswich","Ipswich City Council",TRUE,"")</f>
        <v>Ipswich City Council</v>
      </c>
      <c r="D30" s="6" t="str" cm="1">
        <f t="array" ref="D30">_xlfn.IFS(TRIM(B30)="Sunshine Coast", "High-Density Logistics &amp; Fire Egress Risk", TRIM(B30)="Moreton Bay", "Commercial Apparel Warehousing &amp; Ergonomic Risk", TRIM(B30)="Gold Coast", "Retail Shopfront Public Safety &amp; Crowd Control Risk", TRIM(B30)="Ipswich", "Textile Storage Chemical Treatment &amp; Ventilation Risk", TRUE, "")</f>
        <v>Textile Storage Chemical Treatment &amp; Ventilation Risk</v>
      </c>
      <c r="E30" s="6" t="str" cm="1">
        <f t="array" ref="E30">_xlfn.IFS(TRIM(B30)="Sunshine Coast", "Stockroom Walkway Clearance Audit &amp; Fire Extinguisher Tag Check", TRIM(B30)="Moreton Bay", "High-Level Racking Weight Limit Metric &amp; Manual Handling Training Log", TRIM(B30)="Gold Coast", "Main Storefront Floor Slip-Resistance Test &amp; Emergency Exit Illumination Audit", TRIM(B30)="Ipswich", "Fabric Storage Air-Exchange Velocity Log &amp; Formaldehyde Product Screening", TRUE, "")</f>
        <v>Fabric Storage Air-Exchange Velocity Log &amp; Formaldehyde Product Screening</v>
      </c>
      <c r="F30" s="6" t="str" cm="1">
        <f t="array" ref="F30">_xlfn.IFS(TRIM(B30)="Sunshine Coast", "Maintain a minimum 1.0-meter clear width on all stockroom emergency egress paths", TRIM(B30)="Moreton Bay", "Mandatory structural engineering certifications posted on all high-density pallet racking", TRIM(B30)="Gold Coast", "Ensure store layout complies with maximum occupancy limits and floor vectors are kept spill-free", TRIM(B30)="Ipswich", "Provide continuous mechanical ventilation in fabric processing/bulk storage areas to manage off-gassing", TRUE, "")</f>
        <v>Provide continuous mechanical ventilation in fabric processing/bulk storage areas to manage off-gassing</v>
      </c>
      <c r="G30" s="6" t="str" cm="1">
        <f t="array" ref="G30">_xlfn.IFS(TRIM(B30)="Sunshine Coast", "Queensland Building and Fire Safety Regulation / MS Loop Clothes Folder", TRIM(B30)="Moreton Bay", "WorkSafe QLD Storage and Warehousing National Code", TRIM(B30)="Gold Coast", "City of Gold Coast Local Retail Planning Schemes", TRIM(B30)="Ipswich", "Australian Consumer Law Textile Standards / Loop Master Register", TRUE, "")</f>
        <v>Australian Consumer Law Textile Standards / Loop Master Register</v>
      </c>
    </row>
    <row r="31" spans="1:7" ht="15.6" x14ac:dyDescent="0.3">
      <c r="A31" s="4" t="s">
        <v>23</v>
      </c>
      <c r="B31" s="6" t="s">
        <v>44</v>
      </c>
      <c r="C31" s="6" t="str" cm="1">
        <f t="array" ref="C31">_xlfn.IFS(TRIM(B31)="Sunshine Coast","Sunshine Coast Council",TRIM(B31)="Moreton Bay","City of Moreton Bay",TRIM(B31)="Gold Coast","City of Gold Coast",TRIM(B31)="Ipswich","Ipswich City Council",TRUE,"")</f>
        <v>City of Gold Coast</v>
      </c>
      <c r="D31" s="6" t="str" cm="1">
        <f t="array" ref="D31">_xlfn.IFS(TRIM(B31)="Sunshine Coast", "High-Density Logistics &amp; Fire Egress Risk", TRIM(B31)="Moreton Bay", "Commercial Apparel Warehousing &amp; Ergonomic Risk", TRIM(B31)="Gold Coast", "Retail Shopfront Public Safety &amp; Crowd Control Risk", TRIM(B31)="Ipswich", "Textile Storage Chemical Treatment &amp; Ventilation Risk", TRUE, "")</f>
        <v>Retail Shopfront Public Safety &amp; Crowd Control Risk</v>
      </c>
      <c r="E31" s="6" t="str" cm="1">
        <f t="array" ref="E31">_xlfn.IFS(TRIM(B31)="Sunshine Coast", "Stockroom Walkway Clearance Audit &amp; Fire Extinguisher Tag Check", TRIM(B31)="Moreton Bay", "High-Level Racking Weight Limit Metric &amp; Manual Handling Training Log", TRIM(B31)="Gold Coast", "Main Storefront Floor Slip-Resistance Test &amp; Emergency Exit Illumination Audit", TRIM(B31)="Ipswich", "Fabric Storage Air-Exchange Velocity Log &amp; Formaldehyde Product Screening", TRUE, "")</f>
        <v>Main Storefront Floor Slip-Resistance Test &amp; Emergency Exit Illumination Audit</v>
      </c>
      <c r="F31" s="6" t="str" cm="1">
        <f t="array" ref="F31">_xlfn.IFS(TRIM(B31)="Sunshine Coast", "Maintain a minimum 1.0-meter clear width on all stockroom emergency egress paths", TRIM(B31)="Moreton Bay", "Mandatory structural engineering certifications posted on all high-density pallet racking", TRIM(B31)="Gold Coast", "Ensure store layout complies with maximum occupancy limits and floor vectors are kept spill-free", TRIM(B31)="Ipswich", "Provide continuous mechanical ventilation in fabric processing/bulk storage areas to manage off-gassing", TRUE, "")</f>
        <v>Ensure store layout complies with maximum occupancy limits and floor vectors are kept spill-free</v>
      </c>
      <c r="G31" s="6" t="str" cm="1">
        <f t="array" ref="G31">_xlfn.IFS(TRIM(B31)="Sunshine Coast", "Queensland Building and Fire Safety Regulation / MS Loop Clothes Folder", TRIM(B31)="Moreton Bay", "WorkSafe QLD Storage and Warehousing National Code", TRIM(B31)="Gold Coast", "City of Gold Coast Local Retail Planning Schemes", TRIM(B31)="Ipswich", "Australian Consumer Law Textile Standards / Loop Master Register", TRUE, "")</f>
        <v>City of Gold Coast Local Retail Planning Schemes</v>
      </c>
    </row>
    <row r="32" spans="1:7" ht="15.6" x14ac:dyDescent="0.3">
      <c r="A32" s="4" t="s">
        <v>39</v>
      </c>
      <c r="B32" s="6" t="s">
        <v>38</v>
      </c>
      <c r="C32" s="6" t="str" cm="1">
        <f t="array" ref="C32">_xlfn.IFS(TRIM(B32)="Sunshine Coast","Sunshine Coast Council",TRIM(B32)="Moreton Bay","City of Moreton Bay",TRIM(B32)="Gold Coast","City of Gold Coast",TRIM(B32)="Ipswich","Ipswich City Council",TRUE,"")</f>
        <v>Ipswich City Council</v>
      </c>
      <c r="D32" s="6" t="str" cm="1">
        <f t="array" ref="D32">_xlfn.IFS(TRIM(B32)="Sunshine Coast", "High-Density Logistics &amp; Fire Egress Risk", TRIM(B32)="Moreton Bay", "Commercial Apparel Warehousing &amp; Ergonomic Risk", TRIM(B32)="Gold Coast", "Retail Shopfront Public Safety &amp; Crowd Control Risk", TRIM(B32)="Ipswich", "Textile Storage Chemical Treatment &amp; Ventilation Risk", TRUE, "")</f>
        <v>Textile Storage Chemical Treatment &amp; Ventilation Risk</v>
      </c>
      <c r="E32" s="6" t="str" cm="1">
        <f t="array" ref="E32">_xlfn.IFS(TRIM(B32)="Sunshine Coast", "Stockroom Walkway Clearance Audit &amp; Fire Extinguisher Tag Check", TRIM(B32)="Moreton Bay", "High-Level Racking Weight Limit Metric &amp; Manual Handling Training Log", TRIM(B32)="Gold Coast", "Main Storefront Floor Slip-Resistance Test &amp; Emergency Exit Illumination Audit", TRIM(B32)="Ipswich", "Fabric Storage Air-Exchange Velocity Log &amp; Formaldehyde Product Screening", TRUE, "")</f>
        <v>Fabric Storage Air-Exchange Velocity Log &amp; Formaldehyde Product Screening</v>
      </c>
      <c r="F32" s="6" t="str" cm="1">
        <f t="array" ref="F32">_xlfn.IFS(TRIM(B32)="Sunshine Coast", "Maintain a minimum 1.0-meter clear width on all stockroom emergency egress paths", TRIM(B32)="Moreton Bay", "Mandatory structural engineering certifications posted on all high-density pallet racking", TRIM(B32)="Gold Coast", "Ensure store layout complies with maximum occupancy limits and floor vectors are kept spill-free", TRIM(B32)="Ipswich", "Provide continuous mechanical ventilation in fabric processing/bulk storage areas to manage off-gassing", TRUE, "")</f>
        <v>Provide continuous mechanical ventilation in fabric processing/bulk storage areas to manage off-gassing</v>
      </c>
      <c r="G32" s="6" t="str" cm="1">
        <f t="array" ref="G32">_xlfn.IFS(TRIM(B32)="Sunshine Coast", "Queensland Building and Fire Safety Regulation / MS Loop Clothes Folder", TRIM(B32)="Moreton Bay", "WorkSafe QLD Storage and Warehousing National Code", TRIM(B32)="Gold Coast", "City of Gold Coast Local Retail Planning Schemes", TRIM(B32)="Ipswich", "Australian Consumer Law Textile Standards / Loop Master Register", TRUE, "")</f>
        <v>Australian Consumer Law Textile Standards / Loop Master Register</v>
      </c>
    </row>
    <row r="33" spans="1:7" ht="15.6" x14ac:dyDescent="0.3">
      <c r="A33" s="4" t="s">
        <v>26</v>
      </c>
      <c r="B33" s="6" t="s">
        <v>45</v>
      </c>
      <c r="C33" s="6" t="str" cm="1">
        <f t="array" ref="C33">_xlfn.IFS(TRIM(B33)="Sunshine Coast","Sunshine Coast Council",TRIM(B33)="Moreton Bay","City of Moreton Bay",TRIM(B33)="Gold Coast","City of Gold Coast",TRIM(B33)="Ipswich","Ipswich City Council",TRUE,"")</f>
        <v>City of Moreton Bay</v>
      </c>
      <c r="D33" s="6" t="str" cm="1">
        <f t="array" ref="D33">_xlfn.IFS(TRIM(B33)="Sunshine Coast", "High-Density Logistics &amp; Fire Egress Risk", TRIM(B33)="Moreton Bay", "Commercial Apparel Warehousing &amp; Ergonomic Risk", TRIM(B33)="Gold Coast", "Retail Shopfront Public Safety &amp; Crowd Control Risk", TRIM(B33)="Ipswich", "Textile Storage Chemical Treatment &amp; Ventilation Risk", TRUE, "")</f>
        <v>Commercial Apparel Warehousing &amp; Ergonomic Risk</v>
      </c>
      <c r="E33" s="6" t="str" cm="1">
        <f t="array" ref="E33">_xlfn.IFS(TRIM(B33)="Sunshine Coast", "Stockroom Walkway Clearance Audit &amp; Fire Extinguisher Tag Check", TRIM(B33)="Moreton Bay", "High-Level Racking Weight Limit Metric &amp; Manual Handling Training Log", TRIM(B33)="Gold Coast", "Main Storefront Floor Slip-Resistance Test &amp; Emergency Exit Illumination Audit", TRIM(B33)="Ipswich", "Fabric Storage Air-Exchange Velocity Log &amp; Formaldehyde Product Screening", TRUE, "")</f>
        <v>High-Level Racking Weight Limit Metric &amp; Manual Handling Training Log</v>
      </c>
      <c r="F33" s="6" t="str" cm="1">
        <f t="array" ref="F33">_xlfn.IFS(TRIM(B33)="Sunshine Coast", "Maintain a minimum 1.0-meter clear width on all stockroom emergency egress paths", TRIM(B33)="Moreton Bay", "Mandatory structural engineering certifications posted on all high-density pallet racking", TRIM(B33)="Gold Coast", "Ensure store layout complies with maximum occupancy limits and floor vectors are kept spill-free", TRIM(B33)="Ipswich", "Provide continuous mechanical ventilation in fabric processing/bulk storage areas to manage off-gassing", TRUE, "")</f>
        <v>Mandatory structural engineering certifications posted on all high-density pallet racking</v>
      </c>
      <c r="G33" s="6" t="str" cm="1">
        <f t="array" ref="G33">_xlfn.IFS(TRIM(B33)="Sunshine Coast", "Queensland Building and Fire Safety Regulation / MS Loop Clothes Folder", TRIM(B33)="Moreton Bay", "WorkSafe QLD Storage and Warehousing National Code", TRIM(B33)="Gold Coast", "City of Gold Coast Local Retail Planning Schemes", TRIM(B33)="Ipswich", "Australian Consumer Law Textile Standards / Loop Master Register", TRUE, "")</f>
        <v>WorkSafe QLD Storage and Warehousing National Code</v>
      </c>
    </row>
    <row r="34" spans="1:7" ht="15.6" x14ac:dyDescent="0.3">
      <c r="A34" s="4" t="s">
        <v>41</v>
      </c>
      <c r="B34" s="6" t="s">
        <v>38</v>
      </c>
      <c r="C34" s="6" t="str" cm="1">
        <f t="array" ref="C34">_xlfn.IFS(TRIM(B34)="Sunshine Coast","Sunshine Coast Council",TRIM(B34)="Moreton Bay","City of Moreton Bay",TRIM(B34)="Gold Coast","City of Gold Coast",TRIM(B34)="Ipswich","Ipswich City Council",TRUE,"")</f>
        <v>Ipswich City Council</v>
      </c>
      <c r="D34" s="6" t="str" cm="1">
        <f t="array" ref="D34">_xlfn.IFS(TRIM(B34)="Sunshine Coast", "High-Density Logistics &amp; Fire Egress Risk", TRIM(B34)="Moreton Bay", "Commercial Apparel Warehousing &amp; Ergonomic Risk", TRIM(B34)="Gold Coast", "Retail Shopfront Public Safety &amp; Crowd Control Risk", TRIM(B34)="Ipswich", "Textile Storage Chemical Treatment &amp; Ventilation Risk", TRUE, "")</f>
        <v>Textile Storage Chemical Treatment &amp; Ventilation Risk</v>
      </c>
      <c r="E34" s="6" t="str" cm="1">
        <f t="array" ref="E34">_xlfn.IFS(TRIM(B34)="Sunshine Coast", "Stockroom Walkway Clearance Audit &amp; Fire Extinguisher Tag Check", TRIM(B34)="Moreton Bay", "High-Level Racking Weight Limit Metric &amp; Manual Handling Training Log", TRIM(B34)="Gold Coast", "Main Storefront Floor Slip-Resistance Test &amp; Emergency Exit Illumination Audit", TRIM(B34)="Ipswich", "Fabric Storage Air-Exchange Velocity Log &amp; Formaldehyde Product Screening", TRUE, "")</f>
        <v>Fabric Storage Air-Exchange Velocity Log &amp; Formaldehyde Product Screening</v>
      </c>
      <c r="F34" s="6" t="str" cm="1">
        <f t="array" ref="F34">_xlfn.IFS(TRIM(B34)="Sunshine Coast", "Maintain a minimum 1.0-meter clear width on all stockroom emergency egress paths", TRIM(B34)="Moreton Bay", "Mandatory structural engineering certifications posted on all high-density pallet racking", TRIM(B34)="Gold Coast", "Ensure store layout complies with maximum occupancy limits and floor vectors are kept spill-free", TRIM(B34)="Ipswich", "Provide continuous mechanical ventilation in fabric processing/bulk storage areas to manage off-gassing", TRUE, "")</f>
        <v>Provide continuous mechanical ventilation in fabric processing/bulk storage areas to manage off-gassing</v>
      </c>
      <c r="G34" s="6" t="str" cm="1">
        <f t="array" ref="G34">_xlfn.IFS(TRIM(B34)="Sunshine Coast", "Queensland Building and Fire Safety Regulation / MS Loop Clothes Folder", TRIM(B34)="Moreton Bay", "WorkSafe QLD Storage and Warehousing National Code", TRIM(B34)="Gold Coast", "City of Gold Coast Local Retail Planning Schemes", TRIM(B34)="Ipswich", "Australian Consumer Law Textile Standards / Loop Master Register", TRUE, "")</f>
        <v>Australian Consumer Law Textile Standards / Loop Master Register</v>
      </c>
    </row>
    <row r="35" spans="1:7" ht="15.6" x14ac:dyDescent="0.3">
      <c r="A35" s="4" t="s">
        <v>42</v>
      </c>
      <c r="B35" s="6" t="s">
        <v>38</v>
      </c>
      <c r="C35" s="6" t="str" cm="1">
        <f t="array" ref="C35">_xlfn.IFS(TRIM(B35)="Sunshine Coast","Sunshine Coast Council",TRIM(B35)="Moreton Bay","City of Moreton Bay",TRIM(B35)="Gold Coast","City of Gold Coast",TRIM(B35)="Ipswich","Ipswich City Council",TRUE,"")</f>
        <v>Ipswich City Council</v>
      </c>
      <c r="D35" s="6" t="str" cm="1">
        <f t="array" ref="D35">_xlfn.IFS(TRIM(B35)="Sunshine Coast", "High-Density Logistics &amp; Fire Egress Risk", TRIM(B35)="Moreton Bay", "Commercial Apparel Warehousing &amp; Ergonomic Risk", TRIM(B35)="Gold Coast", "Retail Shopfront Public Safety &amp; Crowd Control Risk", TRIM(B35)="Ipswich", "Textile Storage Chemical Treatment &amp; Ventilation Risk", TRUE, "")</f>
        <v>Textile Storage Chemical Treatment &amp; Ventilation Risk</v>
      </c>
      <c r="E35" s="6" t="str" cm="1">
        <f t="array" ref="E35">_xlfn.IFS(TRIM(B35)="Sunshine Coast", "Stockroom Walkway Clearance Audit &amp; Fire Extinguisher Tag Check", TRIM(B35)="Moreton Bay", "High-Level Racking Weight Limit Metric &amp; Manual Handling Training Log", TRIM(B35)="Gold Coast", "Main Storefront Floor Slip-Resistance Test &amp; Emergency Exit Illumination Audit", TRIM(B35)="Ipswich", "Fabric Storage Air-Exchange Velocity Log &amp; Formaldehyde Product Screening", TRUE, "")</f>
        <v>Fabric Storage Air-Exchange Velocity Log &amp; Formaldehyde Product Screening</v>
      </c>
      <c r="F35" s="6" t="str" cm="1">
        <f t="array" ref="F35">_xlfn.IFS(TRIM(B35)="Sunshine Coast", "Maintain a minimum 1.0-meter clear width on all stockroom emergency egress paths", TRIM(B35)="Moreton Bay", "Mandatory structural engineering certifications posted on all high-density pallet racking", TRIM(B35)="Gold Coast", "Ensure store layout complies with maximum occupancy limits and floor vectors are kept spill-free", TRIM(B35)="Ipswich", "Provide continuous mechanical ventilation in fabric processing/bulk storage areas to manage off-gassing", TRUE, "")</f>
        <v>Provide continuous mechanical ventilation in fabric processing/bulk storage areas to manage off-gassing</v>
      </c>
      <c r="G35" s="6" t="str" cm="1">
        <f t="array" ref="G35">_xlfn.IFS(TRIM(B35)="Sunshine Coast", "Queensland Building and Fire Safety Regulation / MS Loop Clothes Folder", TRIM(B35)="Moreton Bay", "WorkSafe QLD Storage and Warehousing National Code", TRIM(B35)="Gold Coast", "City of Gold Coast Local Retail Planning Schemes", TRIM(B35)="Ipswich", "Australian Consumer Law Textile Standards / Loop Master Register", TRUE, "")</f>
        <v>Australian Consumer Law Textile Standards / Loop Master Register</v>
      </c>
    </row>
    <row r="36" spans="1:7" ht="15.6" x14ac:dyDescent="0.3">
      <c r="A36" s="4" t="s">
        <v>24</v>
      </c>
      <c r="B36" s="6" t="s">
        <v>44</v>
      </c>
      <c r="C36" s="6" t="str" cm="1">
        <f t="array" ref="C36">_xlfn.IFS(TRIM(B36)="Sunshine Coast","Sunshine Coast Council",TRIM(B36)="Moreton Bay","City of Moreton Bay",TRIM(B36)="Gold Coast","City of Gold Coast",TRIM(B36)="Ipswich","Ipswich City Council",TRUE,"")</f>
        <v>City of Gold Coast</v>
      </c>
      <c r="D36" s="6" t="str" cm="1">
        <f t="array" ref="D36">_xlfn.IFS(TRIM(B36)="Sunshine Coast", "High-Density Logistics &amp; Fire Egress Risk", TRIM(B36)="Moreton Bay", "Commercial Apparel Warehousing &amp; Ergonomic Risk", TRIM(B36)="Gold Coast", "Retail Shopfront Public Safety &amp; Crowd Control Risk", TRIM(B36)="Ipswich", "Textile Storage Chemical Treatment &amp; Ventilation Risk", TRUE, "")</f>
        <v>Retail Shopfront Public Safety &amp; Crowd Control Risk</v>
      </c>
      <c r="E36" s="6" t="str" cm="1">
        <f t="array" ref="E36">_xlfn.IFS(TRIM(B36)="Sunshine Coast", "Stockroom Walkway Clearance Audit &amp; Fire Extinguisher Tag Check", TRIM(B36)="Moreton Bay", "High-Level Racking Weight Limit Metric &amp; Manual Handling Training Log", TRIM(B36)="Gold Coast", "Main Storefront Floor Slip-Resistance Test &amp; Emergency Exit Illumination Audit", TRIM(B36)="Ipswich", "Fabric Storage Air-Exchange Velocity Log &amp; Formaldehyde Product Screening", TRUE, "")</f>
        <v>Main Storefront Floor Slip-Resistance Test &amp; Emergency Exit Illumination Audit</v>
      </c>
      <c r="F36" s="6" t="str" cm="1">
        <f t="array" ref="F36">_xlfn.IFS(TRIM(B36)="Sunshine Coast", "Maintain a minimum 1.0-meter clear width on all stockroom emergency egress paths", TRIM(B36)="Moreton Bay", "Mandatory structural engineering certifications posted on all high-density pallet racking", TRIM(B36)="Gold Coast", "Ensure store layout complies with maximum occupancy limits and floor vectors are kept spill-free", TRIM(B36)="Ipswich", "Provide continuous mechanical ventilation in fabric processing/bulk storage areas to manage off-gassing", TRUE, "")</f>
        <v>Ensure store layout complies with maximum occupancy limits and floor vectors are kept spill-free</v>
      </c>
      <c r="G36" s="6" t="str" cm="1">
        <f t="array" ref="G36">_xlfn.IFS(TRIM(B36)="Sunshine Coast", "Queensland Building and Fire Safety Regulation / MS Loop Clothes Folder", TRIM(B36)="Moreton Bay", "WorkSafe QLD Storage and Warehousing National Code", TRIM(B36)="Gold Coast", "City of Gold Coast Local Retail Planning Schemes", TRIM(B36)="Ipswich", "Australian Consumer Law Textile Standards / Loop Master Register", TRUE, "")</f>
        <v>City of Gold Coast Local Retail Planning Schemes</v>
      </c>
    </row>
    <row r="37" spans="1:7" ht="15.6" x14ac:dyDescent="0.3">
      <c r="A37" s="4" t="s">
        <v>40</v>
      </c>
      <c r="B37" s="6" t="s">
        <v>38</v>
      </c>
      <c r="C37" s="6" t="str" cm="1">
        <f t="array" ref="C37">_xlfn.IFS(TRIM(B37)="Sunshine Coast","Sunshine Coast Council",TRIM(B37)="Moreton Bay","City of Moreton Bay",TRIM(B37)="Gold Coast","City of Gold Coast",TRIM(B37)="Ipswich","Ipswich City Council",TRUE,"")</f>
        <v>Ipswich City Council</v>
      </c>
      <c r="D37" s="6" t="str" cm="1">
        <f t="array" ref="D37">_xlfn.IFS(TRIM(B37)="Sunshine Coast", "High-Density Logistics &amp; Fire Egress Risk", TRIM(B37)="Moreton Bay", "Commercial Apparel Warehousing &amp; Ergonomic Risk", TRIM(B37)="Gold Coast", "Retail Shopfront Public Safety &amp; Crowd Control Risk", TRIM(B37)="Ipswich", "Textile Storage Chemical Treatment &amp; Ventilation Risk", TRUE, "")</f>
        <v>Textile Storage Chemical Treatment &amp; Ventilation Risk</v>
      </c>
      <c r="E37" s="6" t="str" cm="1">
        <f t="array" ref="E37">_xlfn.IFS(TRIM(B37)="Sunshine Coast", "Stockroom Walkway Clearance Audit &amp; Fire Extinguisher Tag Check", TRIM(B37)="Moreton Bay", "High-Level Racking Weight Limit Metric &amp; Manual Handling Training Log", TRIM(B37)="Gold Coast", "Main Storefront Floor Slip-Resistance Test &amp; Emergency Exit Illumination Audit", TRIM(B37)="Ipswich", "Fabric Storage Air-Exchange Velocity Log &amp; Formaldehyde Product Screening", TRUE, "")</f>
        <v>Fabric Storage Air-Exchange Velocity Log &amp; Formaldehyde Product Screening</v>
      </c>
      <c r="F37" s="6" t="str" cm="1">
        <f t="array" ref="F37">_xlfn.IFS(TRIM(B37)="Sunshine Coast", "Maintain a minimum 1.0-meter clear width on all stockroom emergency egress paths", TRIM(B37)="Moreton Bay", "Mandatory structural engineering certifications posted on all high-density pallet racking", TRIM(B37)="Gold Coast", "Ensure store layout complies with maximum occupancy limits and floor vectors are kept spill-free", TRIM(B37)="Ipswich", "Provide continuous mechanical ventilation in fabric processing/bulk storage areas to manage off-gassing", TRUE, "")</f>
        <v>Provide continuous mechanical ventilation in fabric processing/bulk storage areas to manage off-gassing</v>
      </c>
      <c r="G37" s="6" t="str" cm="1">
        <f t="array" ref="G37">_xlfn.IFS(TRIM(B37)="Sunshine Coast", "Queensland Building and Fire Safety Regulation / MS Loop Clothes Folder", TRIM(B37)="Moreton Bay", "WorkSafe QLD Storage and Warehousing National Code", TRIM(B37)="Gold Coast", "City of Gold Coast Local Retail Planning Schemes", TRIM(B37)="Ipswich", "Australian Consumer Law Textile Standards / Loop Master Register", TRUE, "")</f>
        <v>Australian Consumer Law Textile Standards / Loop Master Register</v>
      </c>
    </row>
    <row r="38" spans="1:7" ht="15" x14ac:dyDescent="0.3">
      <c r="A38" s="3" t="s">
        <v>7</v>
      </c>
      <c r="B38" s="6" t="s">
        <v>43</v>
      </c>
      <c r="C38" s="6" t="str" cm="1">
        <f t="array" ref="C38">_xlfn.IFS(TRIM(B38)="Sunshine Coast","Sunshine Coast Council",TRIM(B38)="Moreton Bay","City of Moreton Bay",TRIM(B38)="Gold Coast","City of Gold Coast",TRIM(B38)="Ipswich","Ipswich City Council",TRUE,"")</f>
        <v>Sunshine Coast Council</v>
      </c>
      <c r="D38" s="6" t="str" cm="1">
        <f t="array" ref="D38">_xlfn.IFS(TRIM(B38)="Sunshine Coast", "High-Density Logistics &amp; Fire Egress Risk", TRIM(B38)="Moreton Bay", "Commercial Apparel Warehousing &amp; Ergonomic Risk", TRIM(B38)="Gold Coast", "Retail Shopfront Public Safety &amp; Crowd Control Risk", TRIM(B38)="Ipswich", "Textile Storage Chemical Treatment &amp; Ventilation Risk", TRUE, "")</f>
        <v>High-Density Logistics &amp; Fire Egress Risk</v>
      </c>
      <c r="E38" s="6" t="str" cm="1">
        <f t="array" ref="E38">_xlfn.IFS(TRIM(B38)="Sunshine Coast", "Stockroom Walkway Clearance Audit &amp; Fire Extinguisher Tag Check", TRIM(B38)="Moreton Bay", "High-Level Racking Weight Limit Metric &amp; Manual Handling Training Log", TRIM(B38)="Gold Coast", "Main Storefront Floor Slip-Resistance Test &amp; Emergency Exit Illumination Audit", TRIM(B38)="Ipswich", "Fabric Storage Air-Exchange Velocity Log &amp; Formaldehyde Product Screening", TRUE, "")</f>
        <v>Stockroom Walkway Clearance Audit &amp; Fire Extinguisher Tag Check</v>
      </c>
      <c r="F38" s="6" t="str" cm="1">
        <f t="array" ref="F38">_xlfn.IFS(TRIM(B38)="Sunshine Coast", "Maintain a minimum 1.0-meter clear width on all stockroom emergency egress paths", TRIM(B38)="Moreton Bay", "Mandatory structural engineering certifications posted on all high-density pallet racking", TRIM(B38)="Gold Coast", "Ensure store layout complies with maximum occupancy limits and floor vectors are kept spill-free", TRIM(B38)="Ipswich", "Provide continuous mechanical ventilation in fabric processing/bulk storage areas to manage off-gassing", TRUE, "")</f>
        <v>Maintain a minimum 1.0-meter clear width on all stockroom emergency egress paths</v>
      </c>
      <c r="G38" s="6" t="str" cm="1">
        <f t="array" ref="G38">_xlfn.IFS(TRIM(B38)="Sunshine Coast", "Queensland Building and Fire Safety Regulation / MS Loop Clothes Folder", TRIM(B38)="Moreton Bay", "WorkSafe QLD Storage and Warehousing National Code", TRIM(B38)="Gold Coast", "City of Gold Coast Local Retail Planning Schemes", TRIM(B38)="Ipswich", "Australian Consumer Law Textile Standards / Loop Master Register", TRUE, "")</f>
        <v>Queensland Building and Fire Safety Regulation / MS Loop Clothes Folder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A268-8E79-45D9-8529-2BB5B954057D}">
  <dimension ref="A1:I38"/>
  <sheetViews>
    <sheetView workbookViewId="0">
      <selection activeCell="K16" sqref="K16"/>
    </sheetView>
  </sheetViews>
  <sheetFormatPr defaultRowHeight="14.4" x14ac:dyDescent="0.3"/>
  <cols>
    <col min="1" max="1" width="24.33203125" bestFit="1" customWidth="1"/>
    <col min="2" max="2" width="21.6640625" customWidth="1"/>
    <col min="3" max="3" width="26.6640625" customWidth="1"/>
    <col min="4" max="4" width="56" bestFit="1" customWidth="1"/>
    <col min="5" max="5" width="70.21875" bestFit="1" customWidth="1"/>
    <col min="6" max="6" width="91.5546875" bestFit="1" customWidth="1"/>
    <col min="7" max="7" width="70.88671875" bestFit="1" customWidth="1"/>
    <col min="9" max="9" width="10.109375" bestFit="1" customWidth="1"/>
  </cols>
  <sheetData>
    <row r="1" spans="1:9" ht="46.8" thickBot="1" x14ac:dyDescent="0.35">
      <c r="A1" s="7" t="s">
        <v>54</v>
      </c>
      <c r="B1" s="7"/>
      <c r="C1" s="7"/>
      <c r="D1" s="7"/>
      <c r="E1" s="7"/>
      <c r="F1" s="7"/>
      <c r="G1" s="7"/>
      <c r="H1" t="s">
        <v>15</v>
      </c>
      <c r="I1" t="s">
        <v>16</v>
      </c>
    </row>
    <row r="2" spans="1:9" ht="69.599999999999994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49</v>
      </c>
      <c r="G2" s="1" t="s">
        <v>14</v>
      </c>
    </row>
    <row r="3" spans="1:9" ht="15" x14ac:dyDescent="0.3">
      <c r="A3" s="3" t="s">
        <v>0</v>
      </c>
      <c r="B3" s="6" t="s">
        <v>43</v>
      </c>
      <c r="C3" s="6" t="str" cm="1">
        <f t="array" ref="C3">_xlfn.IFS(TRIM(B3)="Sunshine Coast","Sunshine Coast Council",TRIM(B3)="Moreton Bay","City of Moreton Bay",TRIM(B3)="Gold Coast","City of Gold Coast",TRIM(B3)="Ipswich","Ipswich City Council",TRUE,"")</f>
        <v>Sunshine Coast Council</v>
      </c>
      <c r="D3" s="6" t="str" cm="1">
        <f t="array" ref="D3">_xlfn.IFS(TRIM(B3)="Sunshine Coast", "Commercial Organic Waste Diversion &amp; Cold Chain Log Risk", TRIM(B3)="Moreton Bay", "Perishable Cold Storage &amp; Biological Contamination Risk", TRIM(B3)="Gold Coast", "High-Volume Food Supply Logistics &amp; Public Health Risk", TRIM(B3)="Ipswich", "Bulk Food Distribution Vermin Control &amp; Storage Risk", TRUE, "")</f>
        <v>Commercial Organic Waste Diversion &amp; Cold Chain Log Risk</v>
      </c>
      <c r="E3" s="6" t="str" cm="1">
        <f t="array" ref="E3">_xlfn.IFS(TRIM(B3)="Sunshine Coast", "Inedible Waste Sorting Frequency &amp; Fridge Temperature Sensor Validation", TRIM(B3)="Moreton Bay", "Deep-Freeze Defrost Cycle Log &amp; Cross-Contamination Inspection Audit", TRIM(B3)="Gold Coast", "Fresh Produce Display Shelf-Life Verification &amp; Loading Dock Sanitation Log", TRIM(B3)="Ipswich", "Commercial Pest Bait Station Inspection Matrix &amp; Dry Goods Humidity Check", TRUE, "")</f>
        <v>Inedible Waste Sorting Frequency &amp; Fridge Temperature Sensor Validation</v>
      </c>
      <c r="F3" s="6" t="str" cm="1">
        <f t="array" ref="F3">_xlfn.IFS(TRIM(B3)="Sunshine Coast", "Maintain fridge parameters at a baseline average of 3°C and separate organic waste streams", TRIM(B3)="Moreton Bay", "Ensure commercial walk-in freezers register continuous deep-freeze below -18°C", TRIM(B3)="Gold Coast", "All incoming fresh stock must be logged through a visual inspection for structural packaging damage", TRIM(B3)="Ipswich", "Execute professional pest management sweeps monthly and keep raw pallets 150mm off the ground", TRUE, "")</f>
        <v>Maintain fridge parameters at a baseline average of 3°C and separate organic waste streams</v>
      </c>
      <c r="G3" s="6" t="str" cm="1">
        <f t="array" ref="G3">_xlfn.IFS(TRIM(B3)="Sunshine Coast", "QLD Waste Reduction and Recycling Regulation / MS Loop Groceries Folder", TRIM(B3)="Moreton Bay", "Food Production Safety Act 2000 / Safe Food QLD Guidelines", TRIM(B3)="Gold Coast", "Australia New Zealand Food Standards Code (Standard 3.2.2)", TRIM(B3)="Ipswich", "Ipswich City Council Public Health Bylaws / Loop Master Register", TRUE, "")</f>
        <v>QLD Waste Reduction and Recycling Regulation / MS Loop Groceries Folder</v>
      </c>
    </row>
    <row r="4" spans="1:9" ht="15" x14ac:dyDescent="0.3">
      <c r="A4" s="3" t="s">
        <v>2</v>
      </c>
      <c r="B4" s="6" t="s">
        <v>43</v>
      </c>
      <c r="C4" s="6" t="str" cm="1">
        <f t="array" ref="C4">_xlfn.IFS(TRIM(B4)="Sunshine Coast","Sunshine Coast Council",TRIM(B4)="Moreton Bay","City of Moreton Bay",TRIM(B4)="Gold Coast","City of Gold Coast",TRIM(B4)="Ipswich","Ipswich City Council",TRUE,"")</f>
        <v>Sunshine Coast Council</v>
      </c>
      <c r="D4" s="6" t="str" cm="1">
        <f t="array" ref="D4">_xlfn.IFS(TRIM(B4)="Sunshine Coast", "Commercial Organic Waste Diversion &amp; Cold Chain Log Risk", TRIM(B4)="Moreton Bay", "Perishable Cold Storage &amp; Biological Contamination Risk", TRIM(B4)="Gold Coast", "High-Volume Food Supply Logistics &amp; Public Health Risk", TRIM(B4)="Ipswich", "Bulk Food Distribution Vermin Control &amp; Storage Risk", TRUE, "")</f>
        <v>Commercial Organic Waste Diversion &amp; Cold Chain Log Risk</v>
      </c>
      <c r="E4" s="6" t="str" cm="1">
        <f t="array" ref="E4">_xlfn.IFS(TRIM(B4)="Sunshine Coast", "Inedible Waste Sorting Frequency &amp; Fridge Temperature Sensor Validation", TRIM(B4)="Moreton Bay", "Deep-Freeze Defrost Cycle Log &amp; Cross-Contamination Inspection Audit", TRIM(B4)="Gold Coast", "Fresh Produce Display Shelf-Life Verification &amp; Loading Dock Sanitation Log", TRIM(B4)="Ipswich", "Commercial Pest Bait Station Inspection Matrix &amp; Dry Goods Humidity Check", TRUE, "")</f>
        <v>Inedible Waste Sorting Frequency &amp; Fridge Temperature Sensor Validation</v>
      </c>
      <c r="F4" s="6" t="str" cm="1">
        <f t="array" ref="F4">_xlfn.IFS(TRIM(B4)="Sunshine Coast", "Maintain fridge parameters at a baseline average of 3°C and separate organic waste streams", TRIM(B4)="Moreton Bay", "Ensure commercial walk-in freezers register continuous deep-freeze below -18°C", TRIM(B4)="Gold Coast", "All incoming fresh stock must be logged through a visual inspection for structural packaging damage", TRIM(B4)="Ipswich", "Execute professional pest management sweeps monthly and keep raw pallets 150mm off the ground", TRUE, "")</f>
        <v>Maintain fridge parameters at a baseline average of 3°C and separate organic waste streams</v>
      </c>
      <c r="G4" s="6" t="str" cm="1">
        <f t="array" ref="G4">_xlfn.IFS(TRIM(B4)="Sunshine Coast", "QLD Waste Reduction and Recycling Regulation / MS Loop Groceries Folder", TRIM(B4)="Moreton Bay", "Food Production Safety Act 2000 / Safe Food QLD Guidelines", TRIM(B4)="Gold Coast", "Australia New Zealand Food Standards Code (Standard 3.2.2)", TRIM(B4)="Ipswich", "Ipswich City Council Public Health Bylaws / Loop Master Register", TRUE, "")</f>
        <v>QLD Waste Reduction and Recycling Regulation / MS Loop Groceries Folder</v>
      </c>
    </row>
    <row r="5" spans="1:9" ht="15.6" x14ac:dyDescent="0.3">
      <c r="A5" s="4" t="s">
        <v>34</v>
      </c>
      <c r="B5" s="6" t="s">
        <v>45</v>
      </c>
      <c r="C5" s="6" t="str" cm="1">
        <f t="array" ref="C5">_xlfn.IFS(TRIM(B5)="Sunshine Coast","Sunshine Coast Council",TRIM(B5)="Moreton Bay","City of Moreton Bay",TRIM(B5)="Gold Coast","City of Gold Coast",TRIM(B5)="Ipswich","Ipswich City Council",TRUE,"")</f>
        <v>City of Moreton Bay</v>
      </c>
      <c r="D5" s="6" t="str" cm="1">
        <f t="array" ref="D5">_xlfn.IFS(TRIM(B5)="Sunshine Coast", "Commercial Organic Waste Diversion &amp; Cold Chain Log Risk", TRIM(B5)="Moreton Bay", "Perishable Cold Storage &amp; Biological Contamination Risk", TRIM(B5)="Gold Coast", "High-Volume Food Supply Logistics &amp; Public Health Risk", TRIM(B5)="Ipswich", "Bulk Food Distribution Vermin Control &amp; Storage Risk", TRUE, "")</f>
        <v>Perishable Cold Storage &amp; Biological Contamination Risk</v>
      </c>
      <c r="E5" s="6" t="str" cm="1">
        <f t="array" ref="E5">_xlfn.IFS(TRIM(B5)="Sunshine Coast", "Inedible Waste Sorting Frequency &amp; Fridge Temperature Sensor Validation", TRIM(B5)="Moreton Bay", "Deep-Freeze Defrost Cycle Log &amp; Cross-Contamination Inspection Audit", TRIM(B5)="Gold Coast", "Fresh Produce Display Shelf-Life Verification &amp; Loading Dock Sanitation Log", TRIM(B5)="Ipswich", "Commercial Pest Bait Station Inspection Matrix &amp; Dry Goods Humidity Check", TRUE, "")</f>
        <v>Deep-Freeze Defrost Cycle Log &amp; Cross-Contamination Inspection Audit</v>
      </c>
      <c r="F5" s="6" t="str" cm="1">
        <f t="array" ref="F5">_xlfn.IFS(TRIM(B5)="Sunshine Coast", "Maintain fridge parameters at a baseline average of 3°C and separate organic waste streams", TRIM(B5)="Moreton Bay", "Ensure commercial walk-in freezers register continuous deep-freeze below -18°C", TRIM(B5)="Gold Coast", "All incoming fresh stock must be logged through a visual inspection for structural packaging damage", TRIM(B5)="Ipswich", "Execute professional pest management sweeps monthly and keep raw pallets 150mm off the ground", TRUE, "")</f>
        <v>Ensure commercial walk-in freezers register continuous deep-freeze below -18°C</v>
      </c>
      <c r="G5" s="6" t="str" cm="1">
        <f t="array" ref="G5">_xlfn.IFS(TRIM(B5)="Sunshine Coast", "QLD Waste Reduction and Recycling Regulation / MS Loop Groceries Folder", TRIM(B5)="Moreton Bay", "Food Production Safety Act 2000 / Safe Food QLD Guidelines", TRIM(B5)="Gold Coast", "Australia New Zealand Food Standards Code (Standard 3.2.2)", TRIM(B5)="Ipswich", "Ipswich City Council Public Health Bylaws / Loop Master Register", TRUE, "")</f>
        <v>Food Production Safety Act 2000 / Safe Food QLD Guidelines</v>
      </c>
    </row>
    <row r="6" spans="1:9" ht="15.6" x14ac:dyDescent="0.3">
      <c r="A6" s="4" t="s">
        <v>32</v>
      </c>
      <c r="B6" s="6" t="s">
        <v>45</v>
      </c>
      <c r="C6" s="6" t="str" cm="1">
        <f t="array" ref="C6">_xlfn.IFS(TRIM(B6)="Sunshine Coast","Sunshine Coast Council",TRIM(B6)="Moreton Bay","City of Moreton Bay",TRIM(B6)="Gold Coast","City of Gold Coast",TRIM(B6)="Ipswich","Ipswich City Council",TRUE,"")</f>
        <v>City of Moreton Bay</v>
      </c>
      <c r="D6" s="6" t="str" cm="1">
        <f t="array" ref="D6">_xlfn.IFS(TRIM(B6)="Sunshine Coast", "Commercial Organic Waste Diversion &amp; Cold Chain Log Risk", TRIM(B6)="Moreton Bay", "Perishable Cold Storage &amp; Biological Contamination Risk", TRIM(B6)="Gold Coast", "High-Volume Food Supply Logistics &amp; Public Health Risk", TRIM(B6)="Ipswich", "Bulk Food Distribution Vermin Control &amp; Storage Risk", TRUE, "")</f>
        <v>Perishable Cold Storage &amp; Biological Contamination Risk</v>
      </c>
      <c r="E6" s="6" t="str" cm="1">
        <f t="array" ref="E6">_xlfn.IFS(TRIM(B6)="Sunshine Coast", "Inedible Waste Sorting Frequency &amp; Fridge Temperature Sensor Validation", TRIM(B6)="Moreton Bay", "Deep-Freeze Defrost Cycle Log &amp; Cross-Contamination Inspection Audit", TRIM(B6)="Gold Coast", "Fresh Produce Display Shelf-Life Verification &amp; Loading Dock Sanitation Log", TRIM(B6)="Ipswich", "Commercial Pest Bait Station Inspection Matrix &amp; Dry Goods Humidity Check", TRUE, "")</f>
        <v>Deep-Freeze Defrost Cycle Log &amp; Cross-Contamination Inspection Audit</v>
      </c>
      <c r="F6" s="6" t="str" cm="1">
        <f t="array" ref="F6">_xlfn.IFS(TRIM(B6)="Sunshine Coast", "Maintain fridge parameters at a baseline average of 3°C and separate organic waste streams", TRIM(B6)="Moreton Bay", "Ensure commercial walk-in freezers register continuous deep-freeze below -18°C", TRIM(B6)="Gold Coast", "All incoming fresh stock must be logged through a visual inspection for structural packaging damage", TRIM(B6)="Ipswich", "Execute professional pest management sweeps monthly and keep raw pallets 150mm off the ground", TRUE, "")</f>
        <v>Ensure commercial walk-in freezers register continuous deep-freeze below -18°C</v>
      </c>
      <c r="G6" s="6" t="str" cm="1">
        <f t="array" ref="G6">_xlfn.IFS(TRIM(B6)="Sunshine Coast", "QLD Waste Reduction and Recycling Regulation / MS Loop Groceries Folder", TRIM(B6)="Moreton Bay", "Food Production Safety Act 2000 / Safe Food QLD Guidelines", TRIM(B6)="Gold Coast", "Australia New Zealand Food Standards Code (Standard 3.2.2)", TRIM(B6)="Ipswich", "Ipswich City Council Public Health Bylaws / Loop Master Register", TRUE, "")</f>
        <v>Food Production Safety Act 2000 / Safe Food QLD Guidelines</v>
      </c>
    </row>
    <row r="7" spans="1:9" ht="15.6" x14ac:dyDescent="0.3">
      <c r="A7" s="4" t="s">
        <v>19</v>
      </c>
      <c r="B7" s="6" t="s">
        <v>44</v>
      </c>
      <c r="C7" s="6" t="str" cm="1">
        <f t="array" ref="C7">_xlfn.IFS(TRIM(B7)="Sunshine Coast","Sunshine Coast Council",TRIM(B7)="Moreton Bay","City of Moreton Bay",TRIM(B7)="Gold Coast","City of Gold Coast",TRIM(B7)="Ipswich","Ipswich City Council",TRUE,"")</f>
        <v>City of Gold Coast</v>
      </c>
      <c r="D7" s="6" t="str" cm="1">
        <f t="array" ref="D7">_xlfn.IFS(TRIM(B7)="Sunshine Coast", "Commercial Organic Waste Diversion &amp; Cold Chain Log Risk", TRIM(B7)="Moreton Bay", "Perishable Cold Storage &amp; Biological Contamination Risk", TRIM(B7)="Gold Coast", "High-Volume Food Supply Logistics &amp; Public Health Risk", TRIM(B7)="Ipswich", "Bulk Food Distribution Vermin Control &amp; Storage Risk", TRUE, "")</f>
        <v>High-Volume Food Supply Logistics &amp; Public Health Risk</v>
      </c>
      <c r="E7" s="6" t="str" cm="1">
        <f t="array" ref="E7">_xlfn.IFS(TRIM(B7)="Sunshine Coast", "Inedible Waste Sorting Frequency &amp; Fridge Temperature Sensor Validation", TRIM(B7)="Moreton Bay", "Deep-Freeze Defrost Cycle Log &amp; Cross-Contamination Inspection Audit", TRIM(B7)="Gold Coast", "Fresh Produce Display Shelf-Life Verification &amp; Loading Dock Sanitation Log", TRIM(B7)="Ipswich", "Commercial Pest Bait Station Inspection Matrix &amp; Dry Goods Humidity Check", TRUE, "")</f>
        <v>Fresh Produce Display Shelf-Life Verification &amp; Loading Dock Sanitation Log</v>
      </c>
      <c r="F7" s="6" t="str" cm="1">
        <f t="array" ref="F7">_xlfn.IFS(TRIM(B7)="Sunshine Coast", "Maintain fridge parameters at a baseline average of 3°C and separate organic waste streams", TRIM(B7)="Moreton Bay", "Ensure commercial walk-in freezers register continuous deep-freeze below -18°C", TRIM(B7)="Gold Coast", "All incoming fresh stock must be logged through a visual inspection for structural packaging damage", TRIM(B7)="Ipswich", "Execute professional pest management sweeps monthly and keep raw pallets 150mm off the ground", TRUE, "")</f>
        <v>All incoming fresh stock must be logged through a visual inspection for structural packaging damage</v>
      </c>
      <c r="G7" s="6" t="str" cm="1">
        <f t="array" ref="G7">_xlfn.IFS(TRIM(B7)="Sunshine Coast", "QLD Waste Reduction and Recycling Regulation / MS Loop Groceries Folder", TRIM(B7)="Moreton Bay", "Food Production Safety Act 2000 / Safe Food QLD Guidelines", TRIM(B7)="Gold Coast", "Australia New Zealand Food Standards Code (Standard 3.2.2)", TRIM(B7)="Ipswich", "Ipswich City Council Public Health Bylaws / Loop Master Register", TRUE, "")</f>
        <v>Australia New Zealand Food Standards Code (Standard 3.2.2)</v>
      </c>
    </row>
    <row r="8" spans="1:9" ht="15.6" x14ac:dyDescent="0.3">
      <c r="A8" s="4" t="s">
        <v>36</v>
      </c>
      <c r="B8" s="6" t="s">
        <v>45</v>
      </c>
      <c r="C8" s="6" t="str" cm="1">
        <f t="array" ref="C8">_xlfn.IFS(TRIM(B8)="Sunshine Coast","Sunshine Coast Council",TRIM(B8)="Moreton Bay","City of Moreton Bay",TRIM(B8)="Gold Coast","City of Gold Coast",TRIM(B8)="Ipswich","Ipswich City Council",TRUE,"")</f>
        <v>City of Moreton Bay</v>
      </c>
      <c r="D8" s="6" t="str" cm="1">
        <f t="array" ref="D8">_xlfn.IFS(TRIM(B8)="Sunshine Coast", "Commercial Organic Waste Diversion &amp; Cold Chain Log Risk", TRIM(B8)="Moreton Bay", "Perishable Cold Storage &amp; Biological Contamination Risk", TRIM(B8)="Gold Coast", "High-Volume Food Supply Logistics &amp; Public Health Risk", TRIM(B8)="Ipswich", "Bulk Food Distribution Vermin Control &amp; Storage Risk", TRUE, "")</f>
        <v>Perishable Cold Storage &amp; Biological Contamination Risk</v>
      </c>
      <c r="E8" s="6" t="str" cm="1">
        <f t="array" ref="E8">_xlfn.IFS(TRIM(B8)="Sunshine Coast", "Inedible Waste Sorting Frequency &amp; Fridge Temperature Sensor Validation", TRIM(B8)="Moreton Bay", "Deep-Freeze Defrost Cycle Log &amp; Cross-Contamination Inspection Audit", TRIM(B8)="Gold Coast", "Fresh Produce Display Shelf-Life Verification &amp; Loading Dock Sanitation Log", TRIM(B8)="Ipswich", "Commercial Pest Bait Station Inspection Matrix &amp; Dry Goods Humidity Check", TRUE, "")</f>
        <v>Deep-Freeze Defrost Cycle Log &amp; Cross-Contamination Inspection Audit</v>
      </c>
      <c r="F8" s="6" t="str" cm="1">
        <f t="array" ref="F8">_xlfn.IFS(TRIM(B8)="Sunshine Coast", "Maintain fridge parameters at a baseline average of 3°C and separate organic waste streams", TRIM(B8)="Moreton Bay", "Ensure commercial walk-in freezers register continuous deep-freeze below -18°C", TRIM(B8)="Gold Coast", "All incoming fresh stock must be logged through a visual inspection for structural packaging damage", TRIM(B8)="Ipswich", "Execute professional pest management sweeps monthly and keep raw pallets 150mm off the ground", TRUE, "")</f>
        <v>Ensure commercial walk-in freezers register continuous deep-freeze below -18°C</v>
      </c>
      <c r="G8" s="6" t="str" cm="1">
        <f t="array" ref="G8">_xlfn.IFS(TRIM(B8)="Sunshine Coast", "QLD Waste Reduction and Recycling Regulation / MS Loop Groceries Folder", TRIM(B8)="Moreton Bay", "Food Production Safety Act 2000 / Safe Food QLD Guidelines", TRIM(B8)="Gold Coast", "Australia New Zealand Food Standards Code (Standard 3.2.2)", TRIM(B8)="Ipswich", "Ipswich City Council Public Health Bylaws / Loop Master Register", TRUE, "")</f>
        <v>Food Production Safety Act 2000 / Safe Food QLD Guidelines</v>
      </c>
    </row>
    <row r="9" spans="1:9" ht="15" x14ac:dyDescent="0.3">
      <c r="A9" s="2" t="s">
        <v>47</v>
      </c>
      <c r="B9" s="5" t="s">
        <v>43</v>
      </c>
      <c r="C9" s="6" t="str" cm="1">
        <f t="array" ref="C9">_xlfn.IFS(TRIM(B9)="Sunshine Coast","Sunshine Coast Council",TRIM(B9)="Moreton Bay","City of Moreton Bay",TRIM(B9)="Gold Coast","City of Gold Coast",TRIM(B9)="Ipswich","Ipswich City Council",TRUE,"")</f>
        <v>Sunshine Coast Council</v>
      </c>
      <c r="D9" s="6" t="str" cm="1">
        <f t="array" ref="D9">_xlfn.IFS(TRIM(B9)="Sunshine Coast", "Commercial Organic Waste Diversion &amp; Cold Chain Log Risk", TRIM(B9)="Moreton Bay", "Perishable Cold Storage &amp; Biological Contamination Risk", TRIM(B9)="Gold Coast", "High-Volume Food Supply Logistics &amp; Public Health Risk", TRIM(B9)="Ipswich", "Bulk Food Distribution Vermin Control &amp; Storage Risk", TRUE, "")</f>
        <v>Commercial Organic Waste Diversion &amp; Cold Chain Log Risk</v>
      </c>
      <c r="E9" s="6" t="str" cm="1">
        <f t="array" ref="E9">_xlfn.IFS(TRIM(B9)="Sunshine Coast", "Inedible Waste Sorting Frequency &amp; Fridge Temperature Sensor Validation", TRIM(B9)="Moreton Bay", "Deep-Freeze Defrost Cycle Log &amp; Cross-Contamination Inspection Audit", TRIM(B9)="Gold Coast", "Fresh Produce Display Shelf-Life Verification &amp; Loading Dock Sanitation Log", TRIM(B9)="Ipswich", "Commercial Pest Bait Station Inspection Matrix &amp; Dry Goods Humidity Check", TRUE, "")</f>
        <v>Inedible Waste Sorting Frequency &amp; Fridge Temperature Sensor Validation</v>
      </c>
      <c r="F9" s="6" t="str" cm="1">
        <f t="array" ref="F9">_xlfn.IFS(TRIM(B9)="Sunshine Coast", "Maintain fridge parameters at a baseline average of 3°C and separate organic waste streams", TRIM(B9)="Moreton Bay", "Ensure commercial walk-in freezers register continuous deep-freeze below -18°C", TRIM(B9)="Gold Coast", "All incoming fresh stock must be logged through a visual inspection for structural packaging damage", TRIM(B9)="Ipswich", "Execute professional pest management sweeps monthly and keep raw pallets 150mm off the ground", TRUE, "")</f>
        <v>Maintain fridge parameters at a baseline average of 3°C and separate organic waste streams</v>
      </c>
      <c r="G9" s="6" t="str" cm="1">
        <f t="array" ref="G9">_xlfn.IFS(TRIM(B9)="Sunshine Coast", "QLD Waste Reduction and Recycling Regulation / MS Loop Groceries Folder", TRIM(B9)="Moreton Bay", "Food Production Safety Act 2000 / Safe Food QLD Guidelines", TRIM(B9)="Gold Coast", "Australia New Zealand Food Standards Code (Standard 3.2.2)", TRIM(B9)="Ipswich", "Ipswich City Council Public Health Bylaws / Loop Master Register", TRUE, "")</f>
        <v>QLD Waste Reduction and Recycling Regulation / MS Loop Groceries Folder</v>
      </c>
    </row>
    <row r="10" spans="1:9" ht="15" x14ac:dyDescent="0.3">
      <c r="A10" s="3" t="s">
        <v>5</v>
      </c>
      <c r="B10" s="6" t="s">
        <v>43</v>
      </c>
      <c r="C10" s="6" t="str" cm="1">
        <f t="array" ref="C10">_xlfn.IFS(TRIM(B10)="Sunshine Coast","Sunshine Coast Council",TRIM(B10)="Moreton Bay","City of Moreton Bay",TRIM(B10)="Gold Coast","City of Gold Coast",TRIM(B10)="Ipswich","Ipswich City Council",TRUE,"")</f>
        <v>Sunshine Coast Council</v>
      </c>
      <c r="D10" s="6" t="str" cm="1">
        <f t="array" ref="D10">_xlfn.IFS(TRIM(B10)="Sunshine Coast", "Commercial Organic Waste Diversion &amp; Cold Chain Log Risk", TRIM(B10)="Moreton Bay", "Perishable Cold Storage &amp; Biological Contamination Risk", TRIM(B10)="Gold Coast", "High-Volume Food Supply Logistics &amp; Public Health Risk", TRIM(B10)="Ipswich", "Bulk Food Distribution Vermin Control &amp; Storage Risk", TRUE, "")</f>
        <v>Commercial Organic Waste Diversion &amp; Cold Chain Log Risk</v>
      </c>
      <c r="E10" s="6" t="str" cm="1">
        <f t="array" ref="E10">_xlfn.IFS(TRIM(B10)="Sunshine Coast", "Inedible Waste Sorting Frequency &amp; Fridge Temperature Sensor Validation", TRIM(B10)="Moreton Bay", "Deep-Freeze Defrost Cycle Log &amp; Cross-Contamination Inspection Audit", TRIM(B10)="Gold Coast", "Fresh Produce Display Shelf-Life Verification &amp; Loading Dock Sanitation Log", TRIM(B10)="Ipswich", "Commercial Pest Bait Station Inspection Matrix &amp; Dry Goods Humidity Check", TRUE, "")</f>
        <v>Inedible Waste Sorting Frequency &amp; Fridge Temperature Sensor Validation</v>
      </c>
      <c r="F10" s="6" t="str" cm="1">
        <f t="array" ref="F10">_xlfn.IFS(TRIM(B10)="Sunshine Coast", "Maintain fridge parameters at a baseline average of 3°C and separate organic waste streams", TRIM(B10)="Moreton Bay", "Ensure commercial walk-in freezers register continuous deep-freeze below -18°C", TRIM(B10)="Gold Coast", "All incoming fresh stock must be logged through a visual inspection for structural packaging damage", TRIM(B10)="Ipswich", "Execute professional pest management sweeps monthly and keep raw pallets 150mm off the ground", TRUE, "")</f>
        <v>Maintain fridge parameters at a baseline average of 3°C and separate organic waste streams</v>
      </c>
      <c r="G10" s="6" t="str" cm="1">
        <f t="array" ref="G10">_xlfn.IFS(TRIM(B10)="Sunshine Coast", "QLD Waste Reduction and Recycling Regulation / MS Loop Groceries Folder", TRIM(B10)="Moreton Bay", "Food Production Safety Act 2000 / Safe Food QLD Guidelines", TRIM(B10)="Gold Coast", "Australia New Zealand Food Standards Code (Standard 3.2.2)", TRIM(B10)="Ipswich", "Ipswich City Council Public Health Bylaws / Loop Master Register", TRUE, "")</f>
        <v>QLD Waste Reduction and Recycling Regulation / MS Loop Groceries Folder</v>
      </c>
    </row>
    <row r="11" spans="1:9" ht="15" x14ac:dyDescent="0.3">
      <c r="A11" s="3" t="s">
        <v>1</v>
      </c>
      <c r="B11" s="6" t="s">
        <v>43</v>
      </c>
      <c r="C11" s="6" t="str" cm="1">
        <f t="array" ref="C11">_xlfn.IFS(TRIM(B11)="Sunshine Coast","Sunshine Coast Council",TRIM(B11)="Moreton Bay","City of Moreton Bay",TRIM(B11)="Gold Coast","City of Gold Coast",TRIM(B11)="Ipswich","Ipswich City Council",TRUE,"")</f>
        <v>Sunshine Coast Council</v>
      </c>
      <c r="D11" s="6" t="str" cm="1">
        <f t="array" ref="D11">_xlfn.IFS(TRIM(B11)="Sunshine Coast", "Commercial Organic Waste Diversion &amp; Cold Chain Log Risk", TRIM(B11)="Moreton Bay", "Perishable Cold Storage &amp; Biological Contamination Risk", TRIM(B11)="Gold Coast", "High-Volume Food Supply Logistics &amp; Public Health Risk", TRIM(B11)="Ipswich", "Bulk Food Distribution Vermin Control &amp; Storage Risk", TRUE, "")</f>
        <v>Commercial Organic Waste Diversion &amp; Cold Chain Log Risk</v>
      </c>
      <c r="E11" s="6" t="str" cm="1">
        <f t="array" ref="E11">_xlfn.IFS(TRIM(B11)="Sunshine Coast", "Inedible Waste Sorting Frequency &amp; Fridge Temperature Sensor Validation", TRIM(B11)="Moreton Bay", "Deep-Freeze Defrost Cycle Log &amp; Cross-Contamination Inspection Audit", TRIM(B11)="Gold Coast", "Fresh Produce Display Shelf-Life Verification &amp; Loading Dock Sanitation Log", TRIM(B11)="Ipswich", "Commercial Pest Bait Station Inspection Matrix &amp; Dry Goods Humidity Check", TRUE, "")</f>
        <v>Inedible Waste Sorting Frequency &amp; Fridge Temperature Sensor Validation</v>
      </c>
      <c r="F11" s="6" t="str" cm="1">
        <f t="array" ref="F11">_xlfn.IFS(TRIM(B11)="Sunshine Coast", "Maintain fridge parameters at a baseline average of 3°C and separate organic waste streams", TRIM(B11)="Moreton Bay", "Ensure commercial walk-in freezers register continuous deep-freeze below -18°C", TRIM(B11)="Gold Coast", "All incoming fresh stock must be logged through a visual inspection for structural packaging damage", TRIM(B11)="Ipswich", "Execute professional pest management sweeps monthly and keep raw pallets 150mm off the ground", TRUE, "")</f>
        <v>Maintain fridge parameters at a baseline average of 3°C and separate organic waste streams</v>
      </c>
      <c r="G11" s="6" t="str" cm="1">
        <f t="array" ref="G11">_xlfn.IFS(TRIM(B11)="Sunshine Coast", "QLD Waste Reduction and Recycling Regulation / MS Loop Groceries Folder", TRIM(B11)="Moreton Bay", "Food Production Safety Act 2000 / Safe Food QLD Guidelines", TRIM(B11)="Gold Coast", "Australia New Zealand Food Standards Code (Standard 3.2.2)", TRIM(B11)="Ipswich", "Ipswich City Council Public Health Bylaws / Loop Master Register", TRUE, "")</f>
        <v>QLD Waste Reduction and Recycling Regulation / MS Loop Groceries Folder</v>
      </c>
    </row>
    <row r="12" spans="1:9" ht="15.6" x14ac:dyDescent="0.3">
      <c r="A12" s="4" t="s">
        <v>21</v>
      </c>
      <c r="B12" s="6" t="s">
        <v>44</v>
      </c>
      <c r="C12" s="6" t="str" cm="1">
        <f t="array" ref="C12">_xlfn.IFS(TRIM(B12)="Sunshine Coast","Sunshine Coast Council",TRIM(B12)="Moreton Bay","City of Moreton Bay",TRIM(B12)="Gold Coast","City of Gold Coast",TRIM(B12)="Ipswich","Ipswich City Council",TRUE,"")</f>
        <v>City of Gold Coast</v>
      </c>
      <c r="D12" s="6" t="str" cm="1">
        <f t="array" ref="D12">_xlfn.IFS(TRIM(B12)="Sunshine Coast", "Commercial Organic Waste Diversion &amp; Cold Chain Log Risk", TRIM(B12)="Moreton Bay", "Perishable Cold Storage &amp; Biological Contamination Risk", TRIM(B12)="Gold Coast", "High-Volume Food Supply Logistics &amp; Public Health Risk", TRIM(B12)="Ipswich", "Bulk Food Distribution Vermin Control &amp; Storage Risk", TRUE, "")</f>
        <v>High-Volume Food Supply Logistics &amp; Public Health Risk</v>
      </c>
      <c r="E12" s="6" t="str" cm="1">
        <f t="array" ref="E12">_xlfn.IFS(TRIM(B12)="Sunshine Coast", "Inedible Waste Sorting Frequency &amp; Fridge Temperature Sensor Validation", TRIM(B12)="Moreton Bay", "Deep-Freeze Defrost Cycle Log &amp; Cross-Contamination Inspection Audit", TRIM(B12)="Gold Coast", "Fresh Produce Display Shelf-Life Verification &amp; Loading Dock Sanitation Log", TRIM(B12)="Ipswich", "Commercial Pest Bait Station Inspection Matrix &amp; Dry Goods Humidity Check", TRUE, "")</f>
        <v>Fresh Produce Display Shelf-Life Verification &amp; Loading Dock Sanitation Log</v>
      </c>
      <c r="F12" s="6" t="str" cm="1">
        <f t="array" ref="F12">_xlfn.IFS(TRIM(B12)="Sunshine Coast", "Maintain fridge parameters at a baseline average of 3°C and separate organic waste streams", TRIM(B12)="Moreton Bay", "Ensure commercial walk-in freezers register continuous deep-freeze below -18°C", TRIM(B12)="Gold Coast", "All incoming fresh stock must be logged through a visual inspection for structural packaging damage", TRIM(B12)="Ipswich", "Execute professional pest management sweeps monthly and keep raw pallets 150mm off the ground", TRUE, "")</f>
        <v>All incoming fresh stock must be logged through a visual inspection for structural packaging damage</v>
      </c>
      <c r="G12" s="6" t="str" cm="1">
        <f t="array" ref="G12">_xlfn.IFS(TRIM(B12)="Sunshine Coast", "QLD Waste Reduction and Recycling Regulation / MS Loop Groceries Folder", TRIM(B12)="Moreton Bay", "Food Production Safety Act 2000 / Safe Food QLD Guidelines", TRIM(B12)="Gold Coast", "Australia New Zealand Food Standards Code (Standard 3.2.2)", TRIM(B12)="Ipswich", "Ipswich City Council Public Health Bylaws / Loop Master Register", TRUE, "")</f>
        <v>Australia New Zealand Food Standards Code (Standard 3.2.2)</v>
      </c>
    </row>
    <row r="13" spans="1:9" ht="15.6" x14ac:dyDescent="0.3">
      <c r="A13" s="4" t="s">
        <v>20</v>
      </c>
      <c r="B13" s="6" t="s">
        <v>44</v>
      </c>
      <c r="C13" s="6" t="str" cm="1">
        <f t="array" ref="C13">_xlfn.IFS(TRIM(B13)="Sunshine Coast","Sunshine Coast Council",TRIM(B13)="Moreton Bay","City of Moreton Bay",TRIM(B13)="Gold Coast","City of Gold Coast",TRIM(B13)="Ipswich","Ipswich City Council",TRUE,"")</f>
        <v>City of Gold Coast</v>
      </c>
      <c r="D13" s="6" t="str" cm="1">
        <f t="array" ref="D13">_xlfn.IFS(TRIM(B13)="Sunshine Coast", "Commercial Organic Waste Diversion &amp; Cold Chain Log Risk", TRIM(B13)="Moreton Bay", "Perishable Cold Storage &amp; Biological Contamination Risk", TRIM(B13)="Gold Coast", "High-Volume Food Supply Logistics &amp; Public Health Risk", TRIM(B13)="Ipswich", "Bulk Food Distribution Vermin Control &amp; Storage Risk", TRUE, "")</f>
        <v>High-Volume Food Supply Logistics &amp; Public Health Risk</v>
      </c>
      <c r="E13" s="6" t="str" cm="1">
        <f t="array" ref="E13">_xlfn.IFS(TRIM(B13)="Sunshine Coast", "Inedible Waste Sorting Frequency &amp; Fridge Temperature Sensor Validation", TRIM(B13)="Moreton Bay", "Deep-Freeze Defrost Cycle Log &amp; Cross-Contamination Inspection Audit", TRIM(B13)="Gold Coast", "Fresh Produce Display Shelf-Life Verification &amp; Loading Dock Sanitation Log", TRIM(B13)="Ipswich", "Commercial Pest Bait Station Inspection Matrix &amp; Dry Goods Humidity Check", TRUE, "")</f>
        <v>Fresh Produce Display Shelf-Life Verification &amp; Loading Dock Sanitation Log</v>
      </c>
      <c r="F13" s="6" t="str" cm="1">
        <f t="array" ref="F13">_xlfn.IFS(TRIM(B13)="Sunshine Coast", "Maintain fridge parameters at a baseline average of 3°C and separate organic waste streams", TRIM(B13)="Moreton Bay", "Ensure commercial walk-in freezers register continuous deep-freeze below -18°C", TRIM(B13)="Gold Coast", "All incoming fresh stock must be logged through a visual inspection for structural packaging damage", TRIM(B13)="Ipswich", "Execute professional pest management sweeps monthly and keep raw pallets 150mm off the ground", TRUE, "")</f>
        <v>All incoming fresh stock must be logged through a visual inspection for structural packaging damage</v>
      </c>
      <c r="G13" s="6" t="str" cm="1">
        <f t="array" ref="G13">_xlfn.IFS(TRIM(B13)="Sunshine Coast", "QLD Waste Reduction and Recycling Regulation / MS Loop Groceries Folder", TRIM(B13)="Moreton Bay", "Food Production Safety Act 2000 / Safe Food QLD Guidelines", TRIM(B13)="Gold Coast", "Australia New Zealand Food Standards Code (Standard 3.2.2)", TRIM(B13)="Ipswich", "Ipswich City Council Public Health Bylaws / Loop Master Register", TRUE, "")</f>
        <v>Australia New Zealand Food Standards Code (Standard 3.2.2)</v>
      </c>
    </row>
    <row r="14" spans="1:9" ht="15.6" x14ac:dyDescent="0.3">
      <c r="A14" s="4" t="s">
        <v>46</v>
      </c>
      <c r="B14" s="6" t="s">
        <v>38</v>
      </c>
      <c r="C14" s="6" t="str" cm="1">
        <f t="array" ref="C14">_xlfn.IFS(TRIM(B14)="Sunshine Coast","Sunshine Coast Council",TRIM(B14)="Moreton Bay","City of Moreton Bay",TRIM(B14)="Gold Coast","City of Gold Coast",TRIM(B14)="Ipswich","Ipswich City Council",TRUE,"")</f>
        <v>Ipswich City Council</v>
      </c>
      <c r="D14" s="6" t="str" cm="1">
        <f t="array" ref="D14">_xlfn.IFS(TRIM(B14)="Sunshine Coast", "Commercial Organic Waste Diversion &amp; Cold Chain Log Risk", TRIM(B14)="Moreton Bay", "Perishable Cold Storage &amp; Biological Contamination Risk", TRIM(B14)="Gold Coast", "High-Volume Food Supply Logistics &amp; Public Health Risk", TRIM(B14)="Ipswich", "Bulk Food Distribution Vermin Control &amp; Storage Risk", TRUE, "")</f>
        <v>Bulk Food Distribution Vermin Control &amp; Storage Risk</v>
      </c>
      <c r="E14" s="6" t="str" cm="1">
        <f t="array" ref="E14">_xlfn.IFS(TRIM(B14)="Sunshine Coast", "Inedible Waste Sorting Frequency &amp; Fridge Temperature Sensor Validation", TRIM(B14)="Moreton Bay", "Deep-Freeze Defrost Cycle Log &amp; Cross-Contamination Inspection Audit", TRIM(B14)="Gold Coast", "Fresh Produce Display Shelf-Life Verification &amp; Loading Dock Sanitation Log", TRIM(B14)="Ipswich", "Commercial Pest Bait Station Inspection Matrix &amp; Dry Goods Humidity Check", TRUE, "")</f>
        <v>Commercial Pest Bait Station Inspection Matrix &amp; Dry Goods Humidity Check</v>
      </c>
      <c r="F14" s="6" t="str" cm="1">
        <f t="array" ref="F14">_xlfn.IFS(TRIM(B14)="Sunshine Coast", "Maintain fridge parameters at a baseline average of 3°C and separate organic waste streams", TRIM(B14)="Moreton Bay", "Ensure commercial walk-in freezers register continuous deep-freeze below -18°C", TRIM(B14)="Gold Coast", "All incoming fresh stock must be logged through a visual inspection for structural packaging damage", TRIM(B14)="Ipswich", "Execute professional pest management sweeps monthly and keep raw pallets 150mm off the ground", TRUE, "")</f>
        <v>Execute professional pest management sweeps monthly and keep raw pallets 150mm off the ground</v>
      </c>
      <c r="G14" s="6" t="str" cm="1">
        <f t="array" ref="G14">_xlfn.IFS(TRIM(B14)="Sunshine Coast", "QLD Waste Reduction and Recycling Regulation / MS Loop Groceries Folder", TRIM(B14)="Moreton Bay", "Food Production Safety Act 2000 / Safe Food QLD Guidelines", TRIM(B14)="Gold Coast", "Australia New Zealand Food Standards Code (Standard 3.2.2)", TRIM(B14)="Ipswich", "Ipswich City Council Public Health Bylaws / Loop Master Register", TRUE, "")</f>
        <v>Ipswich City Council Public Health Bylaws / Loop Master Register</v>
      </c>
    </row>
    <row r="15" spans="1:9" ht="15.6" x14ac:dyDescent="0.3">
      <c r="A15" s="4" t="s">
        <v>30</v>
      </c>
      <c r="B15" s="6" t="s">
        <v>45</v>
      </c>
      <c r="C15" s="6" t="str" cm="1">
        <f t="array" ref="C15">_xlfn.IFS(TRIM(B15)="Sunshine Coast","Sunshine Coast Council",TRIM(B15)="Moreton Bay","City of Moreton Bay",TRIM(B15)="Gold Coast","City of Gold Coast",TRIM(B15)="Ipswich","Ipswich City Council",TRUE,"")</f>
        <v>City of Moreton Bay</v>
      </c>
      <c r="D15" s="6" t="str" cm="1">
        <f t="array" ref="D15">_xlfn.IFS(TRIM(B15)="Sunshine Coast", "Commercial Organic Waste Diversion &amp; Cold Chain Log Risk", TRIM(B15)="Moreton Bay", "Perishable Cold Storage &amp; Biological Contamination Risk", TRIM(B15)="Gold Coast", "High-Volume Food Supply Logistics &amp; Public Health Risk", TRIM(B15)="Ipswich", "Bulk Food Distribution Vermin Control &amp; Storage Risk", TRUE, "")</f>
        <v>Perishable Cold Storage &amp; Biological Contamination Risk</v>
      </c>
      <c r="E15" s="6" t="str" cm="1">
        <f t="array" ref="E15">_xlfn.IFS(TRIM(B15)="Sunshine Coast", "Inedible Waste Sorting Frequency &amp; Fridge Temperature Sensor Validation", TRIM(B15)="Moreton Bay", "Deep-Freeze Defrost Cycle Log &amp; Cross-Contamination Inspection Audit", TRIM(B15)="Gold Coast", "Fresh Produce Display Shelf-Life Verification &amp; Loading Dock Sanitation Log", TRIM(B15)="Ipswich", "Commercial Pest Bait Station Inspection Matrix &amp; Dry Goods Humidity Check", TRUE, "")</f>
        <v>Deep-Freeze Defrost Cycle Log &amp; Cross-Contamination Inspection Audit</v>
      </c>
      <c r="F15" s="6" t="str" cm="1">
        <f t="array" ref="F15">_xlfn.IFS(TRIM(B15)="Sunshine Coast", "Maintain fridge parameters at a baseline average of 3°C and separate organic waste streams", TRIM(B15)="Moreton Bay", "Ensure commercial walk-in freezers register continuous deep-freeze below -18°C", TRIM(B15)="Gold Coast", "All incoming fresh stock must be logged through a visual inspection for structural packaging damage", TRIM(B15)="Ipswich", "Execute professional pest management sweeps monthly and keep raw pallets 150mm off the ground", TRUE, "")</f>
        <v>Ensure commercial walk-in freezers register continuous deep-freeze below -18°C</v>
      </c>
      <c r="G15" s="6" t="str" cm="1">
        <f t="array" ref="G15">_xlfn.IFS(TRIM(B15)="Sunshine Coast", "QLD Waste Reduction and Recycling Regulation / MS Loop Groceries Folder", TRIM(B15)="Moreton Bay", "Food Production Safety Act 2000 / Safe Food QLD Guidelines", TRIM(B15)="Gold Coast", "Australia New Zealand Food Standards Code (Standard 3.2.2)", TRIM(B15)="Ipswich", "Ipswich City Council Public Health Bylaws / Loop Master Register", TRUE, "")</f>
        <v>Food Production Safety Act 2000 / Safe Food QLD Guidelines</v>
      </c>
    </row>
    <row r="16" spans="1:9" ht="15.6" x14ac:dyDescent="0.3">
      <c r="A16" s="4" t="s">
        <v>25</v>
      </c>
      <c r="B16" s="6" t="s">
        <v>45</v>
      </c>
      <c r="C16" s="6" t="str" cm="1">
        <f t="array" ref="C16">_xlfn.IFS(TRIM(B16)="Sunshine Coast","Sunshine Coast Council",TRIM(B16)="Moreton Bay","City of Moreton Bay",TRIM(B16)="Gold Coast","City of Gold Coast",TRIM(B16)="Ipswich","Ipswich City Council",TRUE,"")</f>
        <v>City of Moreton Bay</v>
      </c>
      <c r="D16" s="6" t="str" cm="1">
        <f t="array" ref="D16">_xlfn.IFS(TRIM(B16)="Sunshine Coast", "Commercial Organic Waste Diversion &amp; Cold Chain Log Risk", TRIM(B16)="Moreton Bay", "Perishable Cold Storage &amp; Biological Contamination Risk", TRIM(B16)="Gold Coast", "High-Volume Food Supply Logistics &amp; Public Health Risk", TRIM(B16)="Ipswich", "Bulk Food Distribution Vermin Control &amp; Storage Risk", TRUE, "")</f>
        <v>Perishable Cold Storage &amp; Biological Contamination Risk</v>
      </c>
      <c r="E16" s="6" t="str" cm="1">
        <f t="array" ref="E16">_xlfn.IFS(TRIM(B16)="Sunshine Coast", "Inedible Waste Sorting Frequency &amp; Fridge Temperature Sensor Validation", TRIM(B16)="Moreton Bay", "Deep-Freeze Defrost Cycle Log &amp; Cross-Contamination Inspection Audit", TRIM(B16)="Gold Coast", "Fresh Produce Display Shelf-Life Verification &amp; Loading Dock Sanitation Log", TRIM(B16)="Ipswich", "Commercial Pest Bait Station Inspection Matrix &amp; Dry Goods Humidity Check", TRUE, "")</f>
        <v>Deep-Freeze Defrost Cycle Log &amp; Cross-Contamination Inspection Audit</v>
      </c>
      <c r="F16" s="6" t="str" cm="1">
        <f t="array" ref="F16">_xlfn.IFS(TRIM(B16)="Sunshine Coast", "Maintain fridge parameters at a baseline average of 3°C and separate organic waste streams", TRIM(B16)="Moreton Bay", "Ensure commercial walk-in freezers register continuous deep-freeze below -18°C", TRIM(B16)="Gold Coast", "All incoming fresh stock must be logged through a visual inspection for structural packaging damage", TRIM(B16)="Ipswich", "Execute professional pest management sweeps monthly and keep raw pallets 150mm off the ground", TRUE, "")</f>
        <v>Ensure commercial walk-in freezers register continuous deep-freeze below -18°C</v>
      </c>
      <c r="G16" s="6" t="str" cm="1">
        <f t="array" ref="G16">_xlfn.IFS(TRIM(B16)="Sunshine Coast", "QLD Waste Reduction and Recycling Regulation / MS Loop Groceries Folder", TRIM(B16)="Moreton Bay", "Food Production Safety Act 2000 / Safe Food QLD Guidelines", TRIM(B16)="Gold Coast", "Australia New Zealand Food Standards Code (Standard 3.2.2)", TRIM(B16)="Ipswich", "Ipswich City Council Public Health Bylaws / Loop Master Register", TRUE, "")</f>
        <v>Food Production Safety Act 2000 / Safe Food QLD Guidelines</v>
      </c>
    </row>
    <row r="17" spans="1:7" ht="15" x14ac:dyDescent="0.3">
      <c r="A17" s="3" t="s">
        <v>3</v>
      </c>
      <c r="B17" s="6" t="s">
        <v>43</v>
      </c>
      <c r="C17" s="6" t="str" cm="1">
        <f t="array" ref="C17">_xlfn.IFS(TRIM(B17)="Sunshine Coast","Sunshine Coast Council",TRIM(B17)="Moreton Bay","City of Moreton Bay",TRIM(B17)="Gold Coast","City of Gold Coast",TRIM(B17)="Ipswich","Ipswich City Council",TRUE,"")</f>
        <v>Sunshine Coast Council</v>
      </c>
      <c r="D17" s="6" t="str" cm="1">
        <f t="array" ref="D17">_xlfn.IFS(TRIM(B17)="Sunshine Coast", "Commercial Organic Waste Diversion &amp; Cold Chain Log Risk", TRIM(B17)="Moreton Bay", "Perishable Cold Storage &amp; Biological Contamination Risk", TRIM(B17)="Gold Coast", "High-Volume Food Supply Logistics &amp; Public Health Risk", TRIM(B17)="Ipswich", "Bulk Food Distribution Vermin Control &amp; Storage Risk", TRUE, "")</f>
        <v>Commercial Organic Waste Diversion &amp; Cold Chain Log Risk</v>
      </c>
      <c r="E17" s="6" t="str" cm="1">
        <f t="array" ref="E17">_xlfn.IFS(TRIM(B17)="Sunshine Coast", "Inedible Waste Sorting Frequency &amp; Fridge Temperature Sensor Validation", TRIM(B17)="Moreton Bay", "Deep-Freeze Defrost Cycle Log &amp; Cross-Contamination Inspection Audit", TRIM(B17)="Gold Coast", "Fresh Produce Display Shelf-Life Verification &amp; Loading Dock Sanitation Log", TRIM(B17)="Ipswich", "Commercial Pest Bait Station Inspection Matrix &amp; Dry Goods Humidity Check", TRUE, "")</f>
        <v>Inedible Waste Sorting Frequency &amp; Fridge Temperature Sensor Validation</v>
      </c>
      <c r="F17" s="6" t="str" cm="1">
        <f t="array" ref="F17">_xlfn.IFS(TRIM(B17)="Sunshine Coast", "Maintain fridge parameters at a baseline average of 3°C and separate organic waste streams", TRIM(B17)="Moreton Bay", "Ensure commercial walk-in freezers register continuous deep-freeze below -18°C", TRIM(B17)="Gold Coast", "All incoming fresh stock must be logged through a visual inspection for structural packaging damage", TRIM(B17)="Ipswich", "Execute professional pest management sweeps monthly and keep raw pallets 150mm off the ground", TRUE, "")</f>
        <v>Maintain fridge parameters at a baseline average of 3°C and separate organic waste streams</v>
      </c>
      <c r="G17" s="6" t="str" cm="1">
        <f t="array" ref="G17">_xlfn.IFS(TRIM(B17)="Sunshine Coast", "QLD Waste Reduction and Recycling Regulation / MS Loop Groceries Folder", TRIM(B17)="Moreton Bay", "Food Production Safety Act 2000 / Safe Food QLD Guidelines", TRIM(B17)="Gold Coast", "Australia New Zealand Food Standards Code (Standard 3.2.2)", TRIM(B17)="Ipswich", "Ipswich City Council Public Health Bylaws / Loop Master Register", TRUE, "")</f>
        <v>QLD Waste Reduction and Recycling Regulation / MS Loop Groceries Folder</v>
      </c>
    </row>
    <row r="18" spans="1:7" ht="15.6" x14ac:dyDescent="0.3">
      <c r="A18" s="4" t="s">
        <v>27</v>
      </c>
      <c r="B18" s="6" t="s">
        <v>45</v>
      </c>
      <c r="C18" s="6" t="str" cm="1">
        <f t="array" ref="C18">_xlfn.IFS(TRIM(B18)="Sunshine Coast","Sunshine Coast Council",TRIM(B18)="Moreton Bay","City of Moreton Bay",TRIM(B18)="Gold Coast","City of Gold Coast",TRIM(B18)="Ipswich","Ipswich City Council",TRUE,"")</f>
        <v>City of Moreton Bay</v>
      </c>
      <c r="D18" s="6" t="str" cm="1">
        <f t="array" ref="D18">_xlfn.IFS(TRIM(B18)="Sunshine Coast", "Commercial Organic Waste Diversion &amp; Cold Chain Log Risk", TRIM(B18)="Moreton Bay", "Perishable Cold Storage &amp; Biological Contamination Risk", TRIM(B18)="Gold Coast", "High-Volume Food Supply Logistics &amp; Public Health Risk", TRIM(B18)="Ipswich", "Bulk Food Distribution Vermin Control &amp; Storage Risk", TRUE, "")</f>
        <v>Perishable Cold Storage &amp; Biological Contamination Risk</v>
      </c>
      <c r="E18" s="6" t="str" cm="1">
        <f t="array" ref="E18">_xlfn.IFS(TRIM(B18)="Sunshine Coast", "Inedible Waste Sorting Frequency &amp; Fridge Temperature Sensor Validation", TRIM(B18)="Moreton Bay", "Deep-Freeze Defrost Cycle Log &amp; Cross-Contamination Inspection Audit", TRIM(B18)="Gold Coast", "Fresh Produce Display Shelf-Life Verification &amp; Loading Dock Sanitation Log", TRIM(B18)="Ipswich", "Commercial Pest Bait Station Inspection Matrix &amp; Dry Goods Humidity Check", TRUE, "")</f>
        <v>Deep-Freeze Defrost Cycle Log &amp; Cross-Contamination Inspection Audit</v>
      </c>
      <c r="F18" s="6" t="str" cm="1">
        <f t="array" ref="F18">_xlfn.IFS(TRIM(B18)="Sunshine Coast", "Maintain fridge parameters at a baseline average of 3°C and separate organic waste streams", TRIM(B18)="Moreton Bay", "Ensure commercial walk-in freezers register continuous deep-freeze below -18°C", TRIM(B18)="Gold Coast", "All incoming fresh stock must be logged through a visual inspection for structural packaging damage", TRIM(B18)="Ipswich", "Execute professional pest management sweeps monthly and keep raw pallets 150mm off the ground", TRUE, "")</f>
        <v>Ensure commercial walk-in freezers register continuous deep-freeze below -18°C</v>
      </c>
      <c r="G18" s="6" t="str" cm="1">
        <f t="array" ref="G18">_xlfn.IFS(TRIM(B18)="Sunshine Coast", "QLD Waste Reduction and Recycling Regulation / MS Loop Groceries Folder", TRIM(B18)="Moreton Bay", "Food Production Safety Act 2000 / Safe Food QLD Guidelines", TRIM(B18)="Gold Coast", "Australia New Zealand Food Standards Code (Standard 3.2.2)", TRIM(B18)="Ipswich", "Ipswich City Council Public Health Bylaws / Loop Master Register", TRUE, "")</f>
        <v>Food Production Safety Act 2000 / Safe Food QLD Guidelines</v>
      </c>
    </row>
    <row r="19" spans="1:7" ht="15.6" x14ac:dyDescent="0.3">
      <c r="A19" s="4" t="s">
        <v>28</v>
      </c>
      <c r="B19" s="6" t="s">
        <v>45</v>
      </c>
      <c r="C19" s="6" t="str" cm="1">
        <f t="array" ref="C19">_xlfn.IFS(TRIM(B19)="Sunshine Coast","Sunshine Coast Council",TRIM(B19)="Moreton Bay","City of Moreton Bay",TRIM(B19)="Gold Coast","City of Gold Coast",TRIM(B19)="Ipswich","Ipswich City Council",TRUE,"")</f>
        <v>City of Moreton Bay</v>
      </c>
      <c r="D19" s="6" t="str" cm="1">
        <f t="array" ref="D19">_xlfn.IFS(TRIM(B19)="Sunshine Coast", "Commercial Organic Waste Diversion &amp; Cold Chain Log Risk", TRIM(B19)="Moreton Bay", "Perishable Cold Storage &amp; Biological Contamination Risk", TRIM(B19)="Gold Coast", "High-Volume Food Supply Logistics &amp; Public Health Risk", TRIM(B19)="Ipswich", "Bulk Food Distribution Vermin Control &amp; Storage Risk", TRUE, "")</f>
        <v>Perishable Cold Storage &amp; Biological Contamination Risk</v>
      </c>
      <c r="E19" s="6" t="str" cm="1">
        <f t="array" ref="E19">_xlfn.IFS(TRIM(B19)="Sunshine Coast", "Inedible Waste Sorting Frequency &amp; Fridge Temperature Sensor Validation", TRIM(B19)="Moreton Bay", "Deep-Freeze Defrost Cycle Log &amp; Cross-Contamination Inspection Audit", TRIM(B19)="Gold Coast", "Fresh Produce Display Shelf-Life Verification &amp; Loading Dock Sanitation Log", TRIM(B19)="Ipswich", "Commercial Pest Bait Station Inspection Matrix &amp; Dry Goods Humidity Check", TRUE, "")</f>
        <v>Deep-Freeze Defrost Cycle Log &amp; Cross-Contamination Inspection Audit</v>
      </c>
      <c r="F19" s="6" t="str" cm="1">
        <f t="array" ref="F19">_xlfn.IFS(TRIM(B19)="Sunshine Coast", "Maintain fridge parameters at a baseline average of 3°C and separate organic waste streams", TRIM(B19)="Moreton Bay", "Ensure commercial walk-in freezers register continuous deep-freeze below -18°C", TRIM(B19)="Gold Coast", "All incoming fresh stock must be logged through a visual inspection for structural packaging damage", TRIM(B19)="Ipswich", "Execute professional pest management sweeps monthly and keep raw pallets 150mm off the ground", TRUE, "")</f>
        <v>Ensure commercial walk-in freezers register continuous deep-freeze below -18°C</v>
      </c>
      <c r="G19" s="6" t="str" cm="1">
        <f t="array" ref="G19">_xlfn.IFS(TRIM(B19)="Sunshine Coast", "QLD Waste Reduction and Recycling Regulation / MS Loop Groceries Folder", TRIM(B19)="Moreton Bay", "Food Production Safety Act 2000 / Safe Food QLD Guidelines", TRIM(B19)="Gold Coast", "Australia New Zealand Food Standards Code (Standard 3.2.2)", TRIM(B19)="Ipswich", "Ipswich City Council Public Health Bylaws / Loop Master Register", TRUE, "")</f>
        <v>Food Production Safety Act 2000 / Safe Food QLD Guidelines</v>
      </c>
    </row>
    <row r="20" spans="1:7" ht="15" x14ac:dyDescent="0.3">
      <c r="A20" s="3" t="s">
        <v>4</v>
      </c>
      <c r="B20" s="6" t="s">
        <v>43</v>
      </c>
      <c r="C20" s="6" t="str" cm="1">
        <f t="array" ref="C20">_xlfn.IFS(TRIM(B20)="Sunshine Coast","Sunshine Coast Council",TRIM(B20)="Moreton Bay","City of Moreton Bay",TRIM(B20)="Gold Coast","City of Gold Coast",TRIM(B20)="Ipswich","Ipswich City Council",TRUE,"")</f>
        <v>Sunshine Coast Council</v>
      </c>
      <c r="D20" s="6" t="str" cm="1">
        <f t="array" ref="D20">_xlfn.IFS(TRIM(B20)="Sunshine Coast", "Commercial Organic Waste Diversion &amp; Cold Chain Log Risk", TRIM(B20)="Moreton Bay", "Perishable Cold Storage &amp; Biological Contamination Risk", TRIM(B20)="Gold Coast", "High-Volume Food Supply Logistics &amp; Public Health Risk", TRIM(B20)="Ipswich", "Bulk Food Distribution Vermin Control &amp; Storage Risk", TRUE, "")</f>
        <v>Commercial Organic Waste Diversion &amp; Cold Chain Log Risk</v>
      </c>
      <c r="E20" s="6" t="str" cm="1">
        <f t="array" ref="E20">_xlfn.IFS(TRIM(B20)="Sunshine Coast", "Inedible Waste Sorting Frequency &amp; Fridge Temperature Sensor Validation", TRIM(B20)="Moreton Bay", "Deep-Freeze Defrost Cycle Log &amp; Cross-Contamination Inspection Audit", TRIM(B20)="Gold Coast", "Fresh Produce Display Shelf-Life Verification &amp; Loading Dock Sanitation Log", TRIM(B20)="Ipswich", "Commercial Pest Bait Station Inspection Matrix &amp; Dry Goods Humidity Check", TRUE, "")</f>
        <v>Inedible Waste Sorting Frequency &amp; Fridge Temperature Sensor Validation</v>
      </c>
      <c r="F20" s="6" t="str" cm="1">
        <f t="array" ref="F20">_xlfn.IFS(TRIM(B20)="Sunshine Coast", "Maintain fridge parameters at a baseline average of 3°C and separate organic waste streams", TRIM(B20)="Moreton Bay", "Ensure commercial walk-in freezers register continuous deep-freeze below -18°C", TRIM(B20)="Gold Coast", "All incoming fresh stock must be logged through a visual inspection for structural packaging damage", TRIM(B20)="Ipswich", "Execute professional pest management sweeps monthly and keep raw pallets 150mm off the ground", TRUE, "")</f>
        <v>Maintain fridge parameters at a baseline average of 3°C and separate organic waste streams</v>
      </c>
      <c r="G20" s="6" t="str" cm="1">
        <f t="array" ref="G20">_xlfn.IFS(TRIM(B20)="Sunshine Coast", "QLD Waste Reduction and Recycling Regulation / MS Loop Groceries Folder", TRIM(B20)="Moreton Bay", "Food Production Safety Act 2000 / Safe Food QLD Guidelines", TRIM(B20)="Gold Coast", "Australia New Zealand Food Standards Code (Standard 3.2.2)", TRIM(B20)="Ipswich", "Ipswich City Council Public Health Bylaws / Loop Master Register", TRUE, "")</f>
        <v>QLD Waste Reduction and Recycling Regulation / MS Loop Groceries Folder</v>
      </c>
    </row>
    <row r="21" spans="1:7" ht="15.6" x14ac:dyDescent="0.3">
      <c r="A21" s="4" t="s">
        <v>33</v>
      </c>
      <c r="B21" s="6" t="s">
        <v>45</v>
      </c>
      <c r="C21" s="6" t="str" cm="1">
        <f t="array" ref="C21">_xlfn.IFS(TRIM(B21)="Sunshine Coast","Sunshine Coast Council",TRIM(B21)="Moreton Bay","City of Moreton Bay",TRIM(B21)="Gold Coast","City of Gold Coast",TRIM(B21)="Ipswich","Ipswich City Council",TRUE,"")</f>
        <v>City of Moreton Bay</v>
      </c>
      <c r="D21" s="6" t="str" cm="1">
        <f t="array" ref="D21">_xlfn.IFS(TRIM(B21)="Sunshine Coast", "Commercial Organic Waste Diversion &amp; Cold Chain Log Risk", TRIM(B21)="Moreton Bay", "Perishable Cold Storage &amp; Biological Contamination Risk", TRIM(B21)="Gold Coast", "High-Volume Food Supply Logistics &amp; Public Health Risk", TRIM(B21)="Ipswich", "Bulk Food Distribution Vermin Control &amp; Storage Risk", TRUE, "")</f>
        <v>Perishable Cold Storage &amp; Biological Contamination Risk</v>
      </c>
      <c r="E21" s="6" t="str" cm="1">
        <f t="array" ref="E21">_xlfn.IFS(TRIM(B21)="Sunshine Coast", "Inedible Waste Sorting Frequency &amp; Fridge Temperature Sensor Validation", TRIM(B21)="Moreton Bay", "Deep-Freeze Defrost Cycle Log &amp; Cross-Contamination Inspection Audit", TRIM(B21)="Gold Coast", "Fresh Produce Display Shelf-Life Verification &amp; Loading Dock Sanitation Log", TRIM(B21)="Ipswich", "Commercial Pest Bait Station Inspection Matrix &amp; Dry Goods Humidity Check", TRUE, "")</f>
        <v>Deep-Freeze Defrost Cycle Log &amp; Cross-Contamination Inspection Audit</v>
      </c>
      <c r="F21" s="6" t="str" cm="1">
        <f t="array" ref="F21">_xlfn.IFS(TRIM(B21)="Sunshine Coast", "Maintain fridge parameters at a baseline average of 3°C and separate organic waste streams", TRIM(B21)="Moreton Bay", "Ensure commercial walk-in freezers register continuous deep-freeze below -18°C", TRIM(B21)="Gold Coast", "All incoming fresh stock must be logged through a visual inspection for structural packaging damage", TRIM(B21)="Ipswich", "Execute professional pest management sweeps monthly and keep raw pallets 150mm off the ground", TRUE, "")</f>
        <v>Ensure commercial walk-in freezers register continuous deep-freeze below -18°C</v>
      </c>
      <c r="G21" s="6" t="str" cm="1">
        <f t="array" ref="G21">_xlfn.IFS(TRIM(B21)="Sunshine Coast", "QLD Waste Reduction and Recycling Regulation / MS Loop Groceries Folder", TRIM(B21)="Moreton Bay", "Food Production Safety Act 2000 / Safe Food QLD Guidelines", TRIM(B21)="Gold Coast", "Australia New Zealand Food Standards Code (Standard 3.2.2)", TRIM(B21)="Ipswich", "Ipswich City Council Public Health Bylaws / Loop Master Register", TRUE, "")</f>
        <v>Food Production Safety Act 2000 / Safe Food QLD Guidelines</v>
      </c>
    </row>
    <row r="22" spans="1:7" ht="15.6" x14ac:dyDescent="0.3">
      <c r="A22" s="4" t="s">
        <v>29</v>
      </c>
      <c r="B22" s="6" t="s">
        <v>45</v>
      </c>
      <c r="C22" s="6" t="str" cm="1">
        <f t="array" ref="C22">_xlfn.IFS(TRIM(B22)="Sunshine Coast","Sunshine Coast Council",TRIM(B22)="Moreton Bay","City of Moreton Bay",TRIM(B22)="Gold Coast","City of Gold Coast",TRIM(B22)="Ipswich","Ipswich City Council",TRUE,"")</f>
        <v>City of Moreton Bay</v>
      </c>
      <c r="D22" s="6" t="str" cm="1">
        <f t="array" ref="D22">_xlfn.IFS(TRIM(B22)="Sunshine Coast", "Commercial Organic Waste Diversion &amp; Cold Chain Log Risk", TRIM(B22)="Moreton Bay", "Perishable Cold Storage &amp; Biological Contamination Risk", TRIM(B22)="Gold Coast", "High-Volume Food Supply Logistics &amp; Public Health Risk", TRIM(B22)="Ipswich", "Bulk Food Distribution Vermin Control &amp; Storage Risk", TRUE, "")</f>
        <v>Perishable Cold Storage &amp; Biological Contamination Risk</v>
      </c>
      <c r="E22" s="6" t="str" cm="1">
        <f t="array" ref="E22">_xlfn.IFS(TRIM(B22)="Sunshine Coast", "Inedible Waste Sorting Frequency &amp; Fridge Temperature Sensor Validation", TRIM(B22)="Moreton Bay", "Deep-Freeze Defrost Cycle Log &amp; Cross-Contamination Inspection Audit", TRIM(B22)="Gold Coast", "Fresh Produce Display Shelf-Life Verification &amp; Loading Dock Sanitation Log", TRIM(B22)="Ipswich", "Commercial Pest Bait Station Inspection Matrix &amp; Dry Goods Humidity Check", TRUE, "")</f>
        <v>Deep-Freeze Defrost Cycle Log &amp; Cross-Contamination Inspection Audit</v>
      </c>
      <c r="F22" s="6" t="str" cm="1">
        <f t="array" ref="F22">_xlfn.IFS(TRIM(B22)="Sunshine Coast", "Maintain fridge parameters at a baseline average of 3°C and separate organic waste streams", TRIM(B22)="Moreton Bay", "Ensure commercial walk-in freezers register continuous deep-freeze below -18°C", TRIM(B22)="Gold Coast", "All incoming fresh stock must be logged through a visual inspection for structural packaging damage", TRIM(B22)="Ipswich", "Execute professional pest management sweeps monthly and keep raw pallets 150mm off the ground", TRUE, "")</f>
        <v>Ensure commercial walk-in freezers register continuous deep-freeze below -18°C</v>
      </c>
      <c r="G22" s="6" t="str" cm="1">
        <f t="array" ref="G22">_xlfn.IFS(TRIM(B22)="Sunshine Coast", "QLD Waste Reduction and Recycling Regulation / MS Loop Groceries Folder", TRIM(B22)="Moreton Bay", "Food Production Safety Act 2000 / Safe Food QLD Guidelines", TRIM(B22)="Gold Coast", "Australia New Zealand Food Standards Code (Standard 3.2.2)", TRIM(B22)="Ipswich", "Ipswich City Council Public Health Bylaws / Loop Master Register", TRUE, "")</f>
        <v>Food Production Safety Act 2000 / Safe Food QLD Guidelines</v>
      </c>
    </row>
    <row r="23" spans="1:7" ht="15" x14ac:dyDescent="0.3">
      <c r="A23" s="3" t="s">
        <v>8</v>
      </c>
      <c r="B23" s="6" t="s">
        <v>43</v>
      </c>
      <c r="C23" s="6" t="str" cm="1">
        <f t="array" ref="C23">_xlfn.IFS(TRIM(B23)="Sunshine Coast","Sunshine Coast Council",TRIM(B23)="Moreton Bay","City of Moreton Bay",TRIM(B23)="Gold Coast","City of Gold Coast",TRIM(B23)="Ipswich","Ipswich City Council",TRUE,"")</f>
        <v>Sunshine Coast Council</v>
      </c>
      <c r="D23" s="6" t="str" cm="1">
        <f t="array" ref="D23">_xlfn.IFS(TRIM(B23)="Sunshine Coast", "Commercial Organic Waste Diversion &amp; Cold Chain Log Risk", TRIM(B23)="Moreton Bay", "Perishable Cold Storage &amp; Biological Contamination Risk", TRIM(B23)="Gold Coast", "High-Volume Food Supply Logistics &amp; Public Health Risk", TRIM(B23)="Ipswich", "Bulk Food Distribution Vermin Control &amp; Storage Risk", TRUE, "")</f>
        <v>Commercial Organic Waste Diversion &amp; Cold Chain Log Risk</v>
      </c>
      <c r="E23" s="6" t="str" cm="1">
        <f t="array" ref="E23">_xlfn.IFS(TRIM(B23)="Sunshine Coast", "Inedible Waste Sorting Frequency &amp; Fridge Temperature Sensor Validation", TRIM(B23)="Moreton Bay", "Deep-Freeze Defrost Cycle Log &amp; Cross-Contamination Inspection Audit", TRIM(B23)="Gold Coast", "Fresh Produce Display Shelf-Life Verification &amp; Loading Dock Sanitation Log", TRIM(B23)="Ipswich", "Commercial Pest Bait Station Inspection Matrix &amp; Dry Goods Humidity Check", TRUE, "")</f>
        <v>Inedible Waste Sorting Frequency &amp; Fridge Temperature Sensor Validation</v>
      </c>
      <c r="F23" s="6" t="str" cm="1">
        <f t="array" ref="F23">_xlfn.IFS(TRIM(B23)="Sunshine Coast", "Maintain fridge parameters at a baseline average of 3°C and separate organic waste streams", TRIM(B23)="Moreton Bay", "Ensure commercial walk-in freezers register continuous deep-freeze below -18°C", TRIM(B23)="Gold Coast", "All incoming fresh stock must be logged through a visual inspection for structural packaging damage", TRIM(B23)="Ipswich", "Execute professional pest management sweeps monthly and keep raw pallets 150mm off the ground", TRUE, "")</f>
        <v>Maintain fridge parameters at a baseline average of 3°C and separate organic waste streams</v>
      </c>
      <c r="G23" s="6" t="str" cm="1">
        <f t="array" ref="G23">_xlfn.IFS(TRIM(B23)="Sunshine Coast", "QLD Waste Reduction and Recycling Regulation / MS Loop Groceries Folder", TRIM(B23)="Moreton Bay", "Food Production Safety Act 2000 / Safe Food QLD Guidelines", TRIM(B23)="Gold Coast", "Australia New Zealand Food Standards Code (Standard 3.2.2)", TRIM(B23)="Ipswich", "Ipswich City Council Public Health Bylaws / Loop Master Register", TRUE, "")</f>
        <v>QLD Waste Reduction and Recycling Regulation / MS Loop Groceries Folder</v>
      </c>
    </row>
    <row r="24" spans="1:7" ht="15.6" x14ac:dyDescent="0.3">
      <c r="A24" s="4" t="s">
        <v>35</v>
      </c>
      <c r="B24" s="6" t="s">
        <v>45</v>
      </c>
      <c r="C24" s="6" t="str" cm="1">
        <f t="array" ref="C24">_xlfn.IFS(TRIM(B24)="Sunshine Coast","Sunshine Coast Council",TRIM(B24)="Moreton Bay","City of Moreton Bay",TRIM(B24)="Gold Coast","City of Gold Coast",TRIM(B24)="Ipswich","Ipswich City Council",TRUE,"")</f>
        <v>City of Moreton Bay</v>
      </c>
      <c r="D24" s="6" t="str" cm="1">
        <f t="array" ref="D24">_xlfn.IFS(TRIM(B24)="Sunshine Coast", "Commercial Organic Waste Diversion &amp; Cold Chain Log Risk", TRIM(B24)="Moreton Bay", "Perishable Cold Storage &amp; Biological Contamination Risk", TRIM(B24)="Gold Coast", "High-Volume Food Supply Logistics &amp; Public Health Risk", TRIM(B24)="Ipswich", "Bulk Food Distribution Vermin Control &amp; Storage Risk", TRUE, "")</f>
        <v>Perishable Cold Storage &amp; Biological Contamination Risk</v>
      </c>
      <c r="E24" s="6" t="str" cm="1">
        <f t="array" ref="E24">_xlfn.IFS(TRIM(B24)="Sunshine Coast", "Inedible Waste Sorting Frequency &amp; Fridge Temperature Sensor Validation", TRIM(B24)="Moreton Bay", "Deep-Freeze Defrost Cycle Log &amp; Cross-Contamination Inspection Audit", TRIM(B24)="Gold Coast", "Fresh Produce Display Shelf-Life Verification &amp; Loading Dock Sanitation Log", TRIM(B24)="Ipswich", "Commercial Pest Bait Station Inspection Matrix &amp; Dry Goods Humidity Check", TRUE, "")</f>
        <v>Deep-Freeze Defrost Cycle Log &amp; Cross-Contamination Inspection Audit</v>
      </c>
      <c r="F24" s="6" t="str" cm="1">
        <f t="array" ref="F24">_xlfn.IFS(TRIM(B24)="Sunshine Coast", "Maintain fridge parameters at a baseline average of 3°C and separate organic waste streams", TRIM(B24)="Moreton Bay", "Ensure commercial walk-in freezers register continuous deep-freeze below -18°C", TRIM(B24)="Gold Coast", "All incoming fresh stock must be logged through a visual inspection for structural packaging damage", TRIM(B24)="Ipswich", "Execute professional pest management sweeps monthly and keep raw pallets 150mm off the ground", TRUE, "")</f>
        <v>Ensure commercial walk-in freezers register continuous deep-freeze below -18°C</v>
      </c>
      <c r="G24" s="6" t="str" cm="1">
        <f t="array" ref="G24">_xlfn.IFS(TRIM(B24)="Sunshine Coast", "QLD Waste Reduction and Recycling Regulation / MS Loop Groceries Folder", TRIM(B24)="Moreton Bay", "Food Production Safety Act 2000 / Safe Food QLD Guidelines", TRIM(B24)="Gold Coast", "Australia New Zealand Food Standards Code (Standard 3.2.2)", TRIM(B24)="Ipswich", "Ipswich City Council Public Health Bylaws / Loop Master Register", TRUE, "")</f>
        <v>Food Production Safety Act 2000 / Safe Food QLD Guidelines</v>
      </c>
    </row>
    <row r="25" spans="1:7" ht="15.6" x14ac:dyDescent="0.3">
      <c r="A25" s="4" t="s">
        <v>22</v>
      </c>
      <c r="B25" s="6" t="s">
        <v>44</v>
      </c>
      <c r="C25" s="6" t="str" cm="1">
        <f t="array" ref="C25">_xlfn.IFS(TRIM(B25)="Sunshine Coast","Sunshine Coast Council",TRIM(B25)="Moreton Bay","City of Moreton Bay",TRIM(B25)="Gold Coast","City of Gold Coast",TRIM(B25)="Ipswich","Ipswich City Council",TRUE,"")</f>
        <v>City of Gold Coast</v>
      </c>
      <c r="D25" s="6" t="str" cm="1">
        <f t="array" ref="D25">_xlfn.IFS(TRIM(B25)="Sunshine Coast", "Commercial Organic Waste Diversion &amp; Cold Chain Log Risk", TRIM(B25)="Moreton Bay", "Perishable Cold Storage &amp; Biological Contamination Risk", TRIM(B25)="Gold Coast", "High-Volume Food Supply Logistics &amp; Public Health Risk", TRIM(B25)="Ipswich", "Bulk Food Distribution Vermin Control &amp; Storage Risk", TRUE, "")</f>
        <v>High-Volume Food Supply Logistics &amp; Public Health Risk</v>
      </c>
      <c r="E25" s="6" t="str" cm="1">
        <f t="array" ref="E25">_xlfn.IFS(TRIM(B25)="Sunshine Coast", "Inedible Waste Sorting Frequency &amp; Fridge Temperature Sensor Validation", TRIM(B25)="Moreton Bay", "Deep-Freeze Defrost Cycle Log &amp; Cross-Contamination Inspection Audit", TRIM(B25)="Gold Coast", "Fresh Produce Display Shelf-Life Verification &amp; Loading Dock Sanitation Log", TRIM(B25)="Ipswich", "Commercial Pest Bait Station Inspection Matrix &amp; Dry Goods Humidity Check", TRUE, "")</f>
        <v>Fresh Produce Display Shelf-Life Verification &amp; Loading Dock Sanitation Log</v>
      </c>
      <c r="F25" s="6" t="str" cm="1">
        <f t="array" ref="F25">_xlfn.IFS(TRIM(B25)="Sunshine Coast", "Maintain fridge parameters at a baseline average of 3°C and separate organic waste streams", TRIM(B25)="Moreton Bay", "Ensure commercial walk-in freezers register continuous deep-freeze below -18°C", TRIM(B25)="Gold Coast", "All incoming fresh stock must be logged through a visual inspection for structural packaging damage", TRIM(B25)="Ipswich", "Execute professional pest management sweeps monthly and keep raw pallets 150mm off the ground", TRUE, "")</f>
        <v>All incoming fresh stock must be logged through a visual inspection for structural packaging damage</v>
      </c>
      <c r="G25" s="6" t="str" cm="1">
        <f t="array" ref="G25">_xlfn.IFS(TRIM(B25)="Sunshine Coast", "QLD Waste Reduction and Recycling Regulation / MS Loop Groceries Folder", TRIM(B25)="Moreton Bay", "Food Production Safety Act 2000 / Safe Food QLD Guidelines", TRIM(B25)="Gold Coast", "Australia New Zealand Food Standards Code (Standard 3.2.2)", TRIM(B25)="Ipswich", "Ipswich City Council Public Health Bylaws / Loop Master Register", TRUE, "")</f>
        <v>Australia New Zealand Food Standards Code (Standard 3.2.2)</v>
      </c>
    </row>
    <row r="26" spans="1:7" ht="15.6" x14ac:dyDescent="0.3">
      <c r="A26" s="4" t="s">
        <v>17</v>
      </c>
      <c r="B26" s="6" t="s">
        <v>44</v>
      </c>
      <c r="C26" s="6" t="str" cm="1">
        <f t="array" ref="C26">_xlfn.IFS(TRIM(B26)="Sunshine Coast","Sunshine Coast Council",TRIM(B26)="Moreton Bay","City of Moreton Bay",TRIM(B26)="Gold Coast","City of Gold Coast",TRIM(B26)="Ipswich","Ipswich City Council",TRUE,"")</f>
        <v>City of Gold Coast</v>
      </c>
      <c r="D26" s="6" t="str" cm="1">
        <f t="array" ref="D26">_xlfn.IFS(TRIM(B26)="Sunshine Coast", "Commercial Organic Waste Diversion &amp; Cold Chain Log Risk", TRIM(B26)="Moreton Bay", "Perishable Cold Storage &amp; Biological Contamination Risk", TRIM(B26)="Gold Coast", "High-Volume Food Supply Logistics &amp; Public Health Risk", TRIM(B26)="Ipswich", "Bulk Food Distribution Vermin Control &amp; Storage Risk", TRUE, "")</f>
        <v>High-Volume Food Supply Logistics &amp; Public Health Risk</v>
      </c>
      <c r="E26" s="6" t="str" cm="1">
        <f t="array" ref="E26">_xlfn.IFS(TRIM(B26)="Sunshine Coast", "Inedible Waste Sorting Frequency &amp; Fridge Temperature Sensor Validation", TRIM(B26)="Moreton Bay", "Deep-Freeze Defrost Cycle Log &amp; Cross-Contamination Inspection Audit", TRIM(B26)="Gold Coast", "Fresh Produce Display Shelf-Life Verification &amp; Loading Dock Sanitation Log", TRIM(B26)="Ipswich", "Commercial Pest Bait Station Inspection Matrix &amp; Dry Goods Humidity Check", TRUE, "")</f>
        <v>Fresh Produce Display Shelf-Life Verification &amp; Loading Dock Sanitation Log</v>
      </c>
      <c r="F26" s="6" t="str" cm="1">
        <f t="array" ref="F26">_xlfn.IFS(TRIM(B26)="Sunshine Coast", "Maintain fridge parameters at a baseline average of 3°C and separate organic waste streams", TRIM(B26)="Moreton Bay", "Ensure commercial walk-in freezers register continuous deep-freeze below -18°C", TRIM(B26)="Gold Coast", "All incoming fresh stock must be logged through a visual inspection for structural packaging damage", TRIM(B26)="Ipswich", "Execute professional pest management sweeps monthly and keep raw pallets 150mm off the ground", TRUE, "")</f>
        <v>All incoming fresh stock must be logged through a visual inspection for structural packaging damage</v>
      </c>
      <c r="G26" s="6" t="str" cm="1">
        <f t="array" ref="G26">_xlfn.IFS(TRIM(B26)="Sunshine Coast", "QLD Waste Reduction and Recycling Regulation / MS Loop Groceries Folder", TRIM(B26)="Moreton Bay", "Food Production Safety Act 2000 / Safe Food QLD Guidelines", TRIM(B26)="Gold Coast", "Australia New Zealand Food Standards Code (Standard 3.2.2)", TRIM(B26)="Ipswich", "Ipswich City Council Public Health Bylaws / Loop Master Register", TRUE, "")</f>
        <v>Australia New Zealand Food Standards Code (Standard 3.2.2)</v>
      </c>
    </row>
    <row r="27" spans="1:7" ht="15" x14ac:dyDescent="0.3">
      <c r="A27" s="3" t="s">
        <v>6</v>
      </c>
      <c r="B27" s="6" t="s">
        <v>43</v>
      </c>
      <c r="C27" s="6" t="str" cm="1">
        <f t="array" ref="C27">_xlfn.IFS(TRIM(B27)="Sunshine Coast","Sunshine Coast Council",TRIM(B27)="Moreton Bay","City of Moreton Bay",TRIM(B27)="Gold Coast","City of Gold Coast",TRIM(B27)="Ipswich","Ipswich City Council",TRUE,"")</f>
        <v>Sunshine Coast Council</v>
      </c>
      <c r="D27" s="6" t="str" cm="1">
        <f t="array" ref="D27">_xlfn.IFS(TRIM(B27)="Sunshine Coast", "Commercial Organic Waste Diversion &amp; Cold Chain Log Risk", TRIM(B27)="Moreton Bay", "Perishable Cold Storage &amp; Biological Contamination Risk", TRIM(B27)="Gold Coast", "High-Volume Food Supply Logistics &amp; Public Health Risk", TRIM(B27)="Ipswich", "Bulk Food Distribution Vermin Control &amp; Storage Risk", TRUE, "")</f>
        <v>Commercial Organic Waste Diversion &amp; Cold Chain Log Risk</v>
      </c>
      <c r="E27" s="6" t="str" cm="1">
        <f t="array" ref="E27">_xlfn.IFS(TRIM(B27)="Sunshine Coast", "Inedible Waste Sorting Frequency &amp; Fridge Temperature Sensor Validation", TRIM(B27)="Moreton Bay", "Deep-Freeze Defrost Cycle Log &amp; Cross-Contamination Inspection Audit", TRIM(B27)="Gold Coast", "Fresh Produce Display Shelf-Life Verification &amp; Loading Dock Sanitation Log", TRIM(B27)="Ipswich", "Commercial Pest Bait Station Inspection Matrix &amp; Dry Goods Humidity Check", TRUE, "")</f>
        <v>Inedible Waste Sorting Frequency &amp; Fridge Temperature Sensor Validation</v>
      </c>
      <c r="F27" s="6" t="str" cm="1">
        <f t="array" ref="F27">_xlfn.IFS(TRIM(B27)="Sunshine Coast", "Maintain fridge parameters at a baseline average of 3°C and separate organic waste streams", TRIM(B27)="Moreton Bay", "Ensure commercial walk-in freezers register continuous deep-freeze below -18°C", TRIM(B27)="Gold Coast", "All incoming fresh stock must be logged through a visual inspection for structural packaging damage", TRIM(B27)="Ipswich", "Execute professional pest management sweeps monthly and keep raw pallets 150mm off the ground", TRUE, "")</f>
        <v>Maintain fridge parameters at a baseline average of 3°C and separate organic waste streams</v>
      </c>
      <c r="G27" s="6" t="str" cm="1">
        <f t="array" ref="G27">_xlfn.IFS(TRIM(B27)="Sunshine Coast", "QLD Waste Reduction and Recycling Regulation / MS Loop Groceries Folder", TRIM(B27)="Moreton Bay", "Food Production Safety Act 2000 / Safe Food QLD Guidelines", TRIM(B27)="Gold Coast", "Australia New Zealand Food Standards Code (Standard 3.2.2)", TRIM(B27)="Ipswich", "Ipswich City Council Public Health Bylaws / Loop Master Register", TRUE, "")</f>
        <v>QLD Waste Reduction and Recycling Regulation / MS Loop Groceries Folder</v>
      </c>
    </row>
    <row r="28" spans="1:7" ht="15.6" x14ac:dyDescent="0.3">
      <c r="A28" s="4" t="s">
        <v>31</v>
      </c>
      <c r="B28" s="6" t="s">
        <v>45</v>
      </c>
      <c r="C28" s="6" t="str" cm="1">
        <f t="array" ref="C28">_xlfn.IFS(TRIM(B28)="Sunshine Coast","Sunshine Coast Council",TRIM(B28)="Moreton Bay","City of Moreton Bay",TRIM(B28)="Gold Coast","City of Gold Coast",TRIM(B28)="Ipswich","Ipswich City Council",TRUE,"")</f>
        <v>City of Moreton Bay</v>
      </c>
      <c r="D28" s="6" t="str" cm="1">
        <f t="array" ref="D28">_xlfn.IFS(TRIM(B28)="Sunshine Coast", "Commercial Organic Waste Diversion &amp; Cold Chain Log Risk", TRIM(B28)="Moreton Bay", "Perishable Cold Storage &amp; Biological Contamination Risk", TRIM(B28)="Gold Coast", "High-Volume Food Supply Logistics &amp; Public Health Risk", TRIM(B28)="Ipswich", "Bulk Food Distribution Vermin Control &amp; Storage Risk", TRUE, "")</f>
        <v>Perishable Cold Storage &amp; Biological Contamination Risk</v>
      </c>
      <c r="E28" s="6" t="str" cm="1">
        <f t="array" ref="E28">_xlfn.IFS(TRIM(B28)="Sunshine Coast", "Inedible Waste Sorting Frequency &amp; Fridge Temperature Sensor Validation", TRIM(B28)="Moreton Bay", "Deep-Freeze Defrost Cycle Log &amp; Cross-Contamination Inspection Audit", TRIM(B28)="Gold Coast", "Fresh Produce Display Shelf-Life Verification &amp; Loading Dock Sanitation Log", TRIM(B28)="Ipswich", "Commercial Pest Bait Station Inspection Matrix &amp; Dry Goods Humidity Check", TRUE, "")</f>
        <v>Deep-Freeze Defrost Cycle Log &amp; Cross-Contamination Inspection Audit</v>
      </c>
      <c r="F28" s="6" t="str" cm="1">
        <f t="array" ref="F28">_xlfn.IFS(TRIM(B28)="Sunshine Coast", "Maintain fridge parameters at a baseline average of 3°C and separate organic waste streams", TRIM(B28)="Moreton Bay", "Ensure commercial walk-in freezers register continuous deep-freeze below -18°C", TRIM(B28)="Gold Coast", "All incoming fresh stock must be logged through a visual inspection for structural packaging damage", TRIM(B28)="Ipswich", "Execute professional pest management sweeps monthly and keep raw pallets 150mm off the ground", TRUE, "")</f>
        <v>Ensure commercial walk-in freezers register continuous deep-freeze below -18°C</v>
      </c>
      <c r="G28" s="6" t="str" cm="1">
        <f t="array" ref="G28">_xlfn.IFS(TRIM(B28)="Sunshine Coast", "QLD Waste Reduction and Recycling Regulation / MS Loop Groceries Folder", TRIM(B28)="Moreton Bay", "Food Production Safety Act 2000 / Safe Food QLD Guidelines", TRIM(B28)="Gold Coast", "Australia New Zealand Food Standards Code (Standard 3.2.2)", TRIM(B28)="Ipswich", "Ipswich City Council Public Health Bylaws / Loop Master Register", TRUE, "")</f>
        <v>Food Production Safety Act 2000 / Safe Food QLD Guidelines</v>
      </c>
    </row>
    <row r="29" spans="1:7" ht="15.6" x14ac:dyDescent="0.3">
      <c r="A29" s="4" t="s">
        <v>18</v>
      </c>
      <c r="B29" s="6" t="s">
        <v>44</v>
      </c>
      <c r="C29" s="6" t="str" cm="1">
        <f t="array" ref="C29">_xlfn.IFS(TRIM(B29)="Sunshine Coast","Sunshine Coast Council",TRIM(B29)="Moreton Bay","City of Moreton Bay",TRIM(B29)="Gold Coast","City of Gold Coast",TRIM(B29)="Ipswich","Ipswich City Council",TRUE,"")</f>
        <v>City of Gold Coast</v>
      </c>
      <c r="D29" s="6" t="str" cm="1">
        <f t="array" ref="D29">_xlfn.IFS(TRIM(B29)="Sunshine Coast", "Commercial Organic Waste Diversion &amp; Cold Chain Log Risk", TRIM(B29)="Moreton Bay", "Perishable Cold Storage &amp; Biological Contamination Risk", TRIM(B29)="Gold Coast", "High-Volume Food Supply Logistics &amp; Public Health Risk", TRIM(B29)="Ipswich", "Bulk Food Distribution Vermin Control &amp; Storage Risk", TRUE, "")</f>
        <v>High-Volume Food Supply Logistics &amp; Public Health Risk</v>
      </c>
      <c r="E29" s="6" t="str" cm="1">
        <f t="array" ref="E29">_xlfn.IFS(TRIM(B29)="Sunshine Coast", "Inedible Waste Sorting Frequency &amp; Fridge Temperature Sensor Validation", TRIM(B29)="Moreton Bay", "Deep-Freeze Defrost Cycle Log &amp; Cross-Contamination Inspection Audit", TRIM(B29)="Gold Coast", "Fresh Produce Display Shelf-Life Verification &amp; Loading Dock Sanitation Log", TRIM(B29)="Ipswich", "Commercial Pest Bait Station Inspection Matrix &amp; Dry Goods Humidity Check", TRUE, "")</f>
        <v>Fresh Produce Display Shelf-Life Verification &amp; Loading Dock Sanitation Log</v>
      </c>
      <c r="F29" s="6" t="str" cm="1">
        <f t="array" ref="F29">_xlfn.IFS(TRIM(B29)="Sunshine Coast", "Maintain fridge parameters at a baseline average of 3°C and separate organic waste streams", TRIM(B29)="Moreton Bay", "Ensure commercial walk-in freezers register continuous deep-freeze below -18°C", TRIM(B29)="Gold Coast", "All incoming fresh stock must be logged through a visual inspection for structural packaging damage", TRIM(B29)="Ipswich", "Execute professional pest management sweeps monthly and keep raw pallets 150mm off the ground", TRUE, "")</f>
        <v>All incoming fresh stock must be logged through a visual inspection for structural packaging damage</v>
      </c>
      <c r="G29" s="6" t="str" cm="1">
        <f t="array" ref="G29">_xlfn.IFS(TRIM(B29)="Sunshine Coast", "QLD Waste Reduction and Recycling Regulation / MS Loop Groceries Folder", TRIM(B29)="Moreton Bay", "Food Production Safety Act 2000 / Safe Food QLD Guidelines", TRIM(B29)="Gold Coast", "Australia New Zealand Food Standards Code (Standard 3.2.2)", TRIM(B29)="Ipswich", "Ipswich City Council Public Health Bylaws / Loop Master Register", TRUE, "")</f>
        <v>Australia New Zealand Food Standards Code (Standard 3.2.2)</v>
      </c>
    </row>
    <row r="30" spans="1:7" ht="15.6" x14ac:dyDescent="0.3">
      <c r="A30" s="4" t="s">
        <v>37</v>
      </c>
      <c r="B30" s="6" t="s">
        <v>38</v>
      </c>
      <c r="C30" s="6" t="str" cm="1">
        <f t="array" ref="C30">_xlfn.IFS(TRIM(B30)="Sunshine Coast","Sunshine Coast Council",TRIM(B30)="Moreton Bay","City of Moreton Bay",TRIM(B30)="Gold Coast","City of Gold Coast",TRIM(B30)="Ipswich","Ipswich City Council",TRUE,"")</f>
        <v>Ipswich City Council</v>
      </c>
      <c r="D30" s="6" t="str" cm="1">
        <f t="array" ref="D30">_xlfn.IFS(TRIM(B30)="Sunshine Coast", "Commercial Organic Waste Diversion &amp; Cold Chain Log Risk", TRIM(B30)="Moreton Bay", "Perishable Cold Storage &amp; Biological Contamination Risk", TRIM(B30)="Gold Coast", "High-Volume Food Supply Logistics &amp; Public Health Risk", TRIM(B30)="Ipswich", "Bulk Food Distribution Vermin Control &amp; Storage Risk", TRUE, "")</f>
        <v>Bulk Food Distribution Vermin Control &amp; Storage Risk</v>
      </c>
      <c r="E30" s="6" t="str" cm="1">
        <f t="array" ref="E30">_xlfn.IFS(TRIM(B30)="Sunshine Coast", "Inedible Waste Sorting Frequency &amp; Fridge Temperature Sensor Validation", TRIM(B30)="Moreton Bay", "Deep-Freeze Defrost Cycle Log &amp; Cross-Contamination Inspection Audit", TRIM(B30)="Gold Coast", "Fresh Produce Display Shelf-Life Verification &amp; Loading Dock Sanitation Log", TRIM(B30)="Ipswich", "Commercial Pest Bait Station Inspection Matrix &amp; Dry Goods Humidity Check", TRUE, "")</f>
        <v>Commercial Pest Bait Station Inspection Matrix &amp; Dry Goods Humidity Check</v>
      </c>
      <c r="F30" s="6" t="str" cm="1">
        <f t="array" ref="F30">_xlfn.IFS(TRIM(B30)="Sunshine Coast", "Maintain fridge parameters at a baseline average of 3°C and separate organic waste streams", TRIM(B30)="Moreton Bay", "Ensure commercial walk-in freezers register continuous deep-freeze below -18°C", TRIM(B30)="Gold Coast", "All incoming fresh stock must be logged through a visual inspection for structural packaging damage", TRIM(B30)="Ipswich", "Execute professional pest management sweeps monthly and keep raw pallets 150mm off the ground", TRUE, "")</f>
        <v>Execute professional pest management sweeps monthly and keep raw pallets 150mm off the ground</v>
      </c>
      <c r="G30" s="6" t="str" cm="1">
        <f t="array" ref="G30">_xlfn.IFS(TRIM(B30)="Sunshine Coast", "QLD Waste Reduction and Recycling Regulation / MS Loop Groceries Folder", TRIM(B30)="Moreton Bay", "Food Production Safety Act 2000 / Safe Food QLD Guidelines", TRIM(B30)="Gold Coast", "Australia New Zealand Food Standards Code (Standard 3.2.2)", TRIM(B30)="Ipswich", "Ipswich City Council Public Health Bylaws / Loop Master Register", TRUE, "")</f>
        <v>Ipswich City Council Public Health Bylaws / Loop Master Register</v>
      </c>
    </row>
    <row r="31" spans="1:7" ht="15.6" x14ac:dyDescent="0.3">
      <c r="A31" s="4" t="s">
        <v>23</v>
      </c>
      <c r="B31" s="6" t="s">
        <v>44</v>
      </c>
      <c r="C31" s="6" t="str" cm="1">
        <f t="array" ref="C31">_xlfn.IFS(TRIM(B31)="Sunshine Coast","Sunshine Coast Council",TRIM(B31)="Moreton Bay","City of Moreton Bay",TRIM(B31)="Gold Coast","City of Gold Coast",TRIM(B31)="Ipswich","Ipswich City Council",TRUE,"")</f>
        <v>City of Gold Coast</v>
      </c>
      <c r="D31" s="6" t="str" cm="1">
        <f t="array" ref="D31">_xlfn.IFS(TRIM(B31)="Sunshine Coast", "Commercial Organic Waste Diversion &amp; Cold Chain Log Risk", TRIM(B31)="Moreton Bay", "Perishable Cold Storage &amp; Biological Contamination Risk", TRIM(B31)="Gold Coast", "High-Volume Food Supply Logistics &amp; Public Health Risk", TRIM(B31)="Ipswich", "Bulk Food Distribution Vermin Control &amp; Storage Risk", TRUE, "")</f>
        <v>High-Volume Food Supply Logistics &amp; Public Health Risk</v>
      </c>
      <c r="E31" s="6" t="str" cm="1">
        <f t="array" ref="E31">_xlfn.IFS(TRIM(B31)="Sunshine Coast", "Inedible Waste Sorting Frequency &amp; Fridge Temperature Sensor Validation", TRIM(B31)="Moreton Bay", "Deep-Freeze Defrost Cycle Log &amp; Cross-Contamination Inspection Audit", TRIM(B31)="Gold Coast", "Fresh Produce Display Shelf-Life Verification &amp; Loading Dock Sanitation Log", TRIM(B31)="Ipswich", "Commercial Pest Bait Station Inspection Matrix &amp; Dry Goods Humidity Check", TRUE, "")</f>
        <v>Fresh Produce Display Shelf-Life Verification &amp; Loading Dock Sanitation Log</v>
      </c>
      <c r="F31" s="6" t="str" cm="1">
        <f t="array" ref="F31">_xlfn.IFS(TRIM(B31)="Sunshine Coast", "Maintain fridge parameters at a baseline average of 3°C and separate organic waste streams", TRIM(B31)="Moreton Bay", "Ensure commercial walk-in freezers register continuous deep-freeze below -18°C", TRIM(B31)="Gold Coast", "All incoming fresh stock must be logged through a visual inspection for structural packaging damage", TRIM(B31)="Ipswich", "Execute professional pest management sweeps monthly and keep raw pallets 150mm off the ground", TRUE, "")</f>
        <v>All incoming fresh stock must be logged through a visual inspection for structural packaging damage</v>
      </c>
      <c r="G31" s="6" t="str" cm="1">
        <f t="array" ref="G31">_xlfn.IFS(TRIM(B31)="Sunshine Coast", "QLD Waste Reduction and Recycling Regulation / MS Loop Groceries Folder", TRIM(B31)="Moreton Bay", "Food Production Safety Act 2000 / Safe Food QLD Guidelines", TRIM(B31)="Gold Coast", "Australia New Zealand Food Standards Code (Standard 3.2.2)", TRIM(B31)="Ipswich", "Ipswich City Council Public Health Bylaws / Loop Master Register", TRUE, "")</f>
        <v>Australia New Zealand Food Standards Code (Standard 3.2.2)</v>
      </c>
    </row>
    <row r="32" spans="1:7" ht="15.6" x14ac:dyDescent="0.3">
      <c r="A32" s="4" t="s">
        <v>39</v>
      </c>
      <c r="B32" s="6" t="s">
        <v>38</v>
      </c>
      <c r="C32" s="6" t="str" cm="1">
        <f t="array" ref="C32">_xlfn.IFS(TRIM(B32)="Sunshine Coast","Sunshine Coast Council",TRIM(B32)="Moreton Bay","City of Moreton Bay",TRIM(B32)="Gold Coast","City of Gold Coast",TRIM(B32)="Ipswich","Ipswich City Council",TRUE,"")</f>
        <v>Ipswich City Council</v>
      </c>
      <c r="D32" s="6" t="str" cm="1">
        <f t="array" ref="D32">_xlfn.IFS(TRIM(B32)="Sunshine Coast", "Commercial Organic Waste Diversion &amp; Cold Chain Log Risk", TRIM(B32)="Moreton Bay", "Perishable Cold Storage &amp; Biological Contamination Risk", TRIM(B32)="Gold Coast", "High-Volume Food Supply Logistics &amp; Public Health Risk", TRIM(B32)="Ipswich", "Bulk Food Distribution Vermin Control &amp; Storage Risk", TRUE, "")</f>
        <v>Bulk Food Distribution Vermin Control &amp; Storage Risk</v>
      </c>
      <c r="E32" s="6" t="str" cm="1">
        <f t="array" ref="E32">_xlfn.IFS(TRIM(B32)="Sunshine Coast", "Inedible Waste Sorting Frequency &amp; Fridge Temperature Sensor Validation", TRIM(B32)="Moreton Bay", "Deep-Freeze Defrost Cycle Log &amp; Cross-Contamination Inspection Audit", TRIM(B32)="Gold Coast", "Fresh Produce Display Shelf-Life Verification &amp; Loading Dock Sanitation Log", TRIM(B32)="Ipswich", "Commercial Pest Bait Station Inspection Matrix &amp; Dry Goods Humidity Check", TRUE, "")</f>
        <v>Commercial Pest Bait Station Inspection Matrix &amp; Dry Goods Humidity Check</v>
      </c>
      <c r="F32" s="6" t="str" cm="1">
        <f t="array" ref="F32">_xlfn.IFS(TRIM(B32)="Sunshine Coast", "Maintain fridge parameters at a baseline average of 3°C and separate organic waste streams", TRIM(B32)="Moreton Bay", "Ensure commercial walk-in freezers register continuous deep-freeze below -18°C", TRIM(B32)="Gold Coast", "All incoming fresh stock must be logged through a visual inspection for structural packaging damage", TRIM(B32)="Ipswich", "Execute professional pest management sweeps monthly and keep raw pallets 150mm off the ground", TRUE, "")</f>
        <v>Execute professional pest management sweeps monthly and keep raw pallets 150mm off the ground</v>
      </c>
      <c r="G32" s="6" t="str" cm="1">
        <f t="array" ref="G32">_xlfn.IFS(TRIM(B32)="Sunshine Coast", "QLD Waste Reduction and Recycling Regulation / MS Loop Groceries Folder", TRIM(B32)="Moreton Bay", "Food Production Safety Act 2000 / Safe Food QLD Guidelines", TRIM(B32)="Gold Coast", "Australia New Zealand Food Standards Code (Standard 3.2.2)", TRIM(B32)="Ipswich", "Ipswich City Council Public Health Bylaws / Loop Master Register", TRUE, "")</f>
        <v>Ipswich City Council Public Health Bylaws / Loop Master Register</v>
      </c>
    </row>
    <row r="33" spans="1:7" ht="15.6" x14ac:dyDescent="0.3">
      <c r="A33" s="4" t="s">
        <v>26</v>
      </c>
      <c r="B33" s="6" t="s">
        <v>45</v>
      </c>
      <c r="C33" s="6" t="str" cm="1">
        <f t="array" ref="C33">_xlfn.IFS(TRIM(B33)="Sunshine Coast","Sunshine Coast Council",TRIM(B33)="Moreton Bay","City of Moreton Bay",TRIM(B33)="Gold Coast","City of Gold Coast",TRIM(B33)="Ipswich","Ipswich City Council",TRUE,"")</f>
        <v>City of Moreton Bay</v>
      </c>
      <c r="D33" s="6" t="str" cm="1">
        <f t="array" ref="D33">_xlfn.IFS(TRIM(B33)="Sunshine Coast", "Commercial Organic Waste Diversion &amp; Cold Chain Log Risk", TRIM(B33)="Moreton Bay", "Perishable Cold Storage &amp; Biological Contamination Risk", TRIM(B33)="Gold Coast", "High-Volume Food Supply Logistics &amp; Public Health Risk", TRIM(B33)="Ipswich", "Bulk Food Distribution Vermin Control &amp; Storage Risk", TRUE, "")</f>
        <v>Perishable Cold Storage &amp; Biological Contamination Risk</v>
      </c>
      <c r="E33" s="6" t="str" cm="1">
        <f t="array" ref="E33">_xlfn.IFS(TRIM(B33)="Sunshine Coast", "Inedible Waste Sorting Frequency &amp; Fridge Temperature Sensor Validation", TRIM(B33)="Moreton Bay", "Deep-Freeze Defrost Cycle Log &amp; Cross-Contamination Inspection Audit", TRIM(B33)="Gold Coast", "Fresh Produce Display Shelf-Life Verification &amp; Loading Dock Sanitation Log", TRIM(B33)="Ipswich", "Commercial Pest Bait Station Inspection Matrix &amp; Dry Goods Humidity Check", TRUE, "")</f>
        <v>Deep-Freeze Defrost Cycle Log &amp; Cross-Contamination Inspection Audit</v>
      </c>
      <c r="F33" s="6" t="str" cm="1">
        <f t="array" ref="F33">_xlfn.IFS(TRIM(B33)="Sunshine Coast", "Maintain fridge parameters at a baseline average of 3°C and separate organic waste streams", TRIM(B33)="Moreton Bay", "Ensure commercial walk-in freezers register continuous deep-freeze below -18°C", TRIM(B33)="Gold Coast", "All incoming fresh stock must be logged through a visual inspection for structural packaging damage", TRIM(B33)="Ipswich", "Execute professional pest management sweeps monthly and keep raw pallets 150mm off the ground", TRUE, "")</f>
        <v>Ensure commercial walk-in freezers register continuous deep-freeze below -18°C</v>
      </c>
      <c r="G33" s="6" t="str" cm="1">
        <f t="array" ref="G33">_xlfn.IFS(TRIM(B33)="Sunshine Coast", "QLD Waste Reduction and Recycling Regulation / MS Loop Groceries Folder", TRIM(B33)="Moreton Bay", "Food Production Safety Act 2000 / Safe Food QLD Guidelines", TRIM(B33)="Gold Coast", "Australia New Zealand Food Standards Code (Standard 3.2.2)", TRIM(B33)="Ipswich", "Ipswich City Council Public Health Bylaws / Loop Master Register", TRUE, "")</f>
        <v>Food Production Safety Act 2000 / Safe Food QLD Guidelines</v>
      </c>
    </row>
    <row r="34" spans="1:7" ht="15.6" x14ac:dyDescent="0.3">
      <c r="A34" s="4" t="s">
        <v>41</v>
      </c>
      <c r="B34" s="6" t="s">
        <v>38</v>
      </c>
      <c r="C34" s="6" t="str" cm="1">
        <f t="array" ref="C34">_xlfn.IFS(TRIM(B34)="Sunshine Coast","Sunshine Coast Council",TRIM(B34)="Moreton Bay","City of Moreton Bay",TRIM(B34)="Gold Coast","City of Gold Coast",TRIM(B34)="Ipswich","Ipswich City Council",TRUE,"")</f>
        <v>Ipswich City Council</v>
      </c>
      <c r="D34" s="6" t="str" cm="1">
        <f t="array" ref="D34">_xlfn.IFS(TRIM(B34)="Sunshine Coast", "Commercial Organic Waste Diversion &amp; Cold Chain Log Risk", TRIM(B34)="Moreton Bay", "Perishable Cold Storage &amp; Biological Contamination Risk", TRIM(B34)="Gold Coast", "High-Volume Food Supply Logistics &amp; Public Health Risk", TRIM(B34)="Ipswich", "Bulk Food Distribution Vermin Control &amp; Storage Risk", TRUE, "")</f>
        <v>Bulk Food Distribution Vermin Control &amp; Storage Risk</v>
      </c>
      <c r="E34" s="6" t="str" cm="1">
        <f t="array" ref="E34">_xlfn.IFS(TRIM(B34)="Sunshine Coast", "Inedible Waste Sorting Frequency &amp; Fridge Temperature Sensor Validation", TRIM(B34)="Moreton Bay", "Deep-Freeze Defrost Cycle Log &amp; Cross-Contamination Inspection Audit", TRIM(B34)="Gold Coast", "Fresh Produce Display Shelf-Life Verification &amp; Loading Dock Sanitation Log", TRIM(B34)="Ipswich", "Commercial Pest Bait Station Inspection Matrix &amp; Dry Goods Humidity Check", TRUE, "")</f>
        <v>Commercial Pest Bait Station Inspection Matrix &amp; Dry Goods Humidity Check</v>
      </c>
      <c r="F34" s="6" t="str" cm="1">
        <f t="array" ref="F34">_xlfn.IFS(TRIM(B34)="Sunshine Coast", "Maintain fridge parameters at a baseline average of 3°C and separate organic waste streams", TRIM(B34)="Moreton Bay", "Ensure commercial walk-in freezers register continuous deep-freeze below -18°C", TRIM(B34)="Gold Coast", "All incoming fresh stock must be logged through a visual inspection for structural packaging damage", TRIM(B34)="Ipswich", "Execute professional pest management sweeps monthly and keep raw pallets 150mm off the ground", TRUE, "")</f>
        <v>Execute professional pest management sweeps monthly and keep raw pallets 150mm off the ground</v>
      </c>
      <c r="G34" s="6" t="str" cm="1">
        <f t="array" ref="G34">_xlfn.IFS(TRIM(B34)="Sunshine Coast", "QLD Waste Reduction and Recycling Regulation / MS Loop Groceries Folder", TRIM(B34)="Moreton Bay", "Food Production Safety Act 2000 / Safe Food QLD Guidelines", TRIM(B34)="Gold Coast", "Australia New Zealand Food Standards Code (Standard 3.2.2)", TRIM(B34)="Ipswich", "Ipswich City Council Public Health Bylaws / Loop Master Register", TRUE, "")</f>
        <v>Ipswich City Council Public Health Bylaws / Loop Master Register</v>
      </c>
    </row>
    <row r="35" spans="1:7" ht="15.6" x14ac:dyDescent="0.3">
      <c r="A35" s="4" t="s">
        <v>42</v>
      </c>
      <c r="B35" s="6" t="s">
        <v>38</v>
      </c>
      <c r="C35" s="6" t="str" cm="1">
        <f t="array" ref="C35">_xlfn.IFS(TRIM(B35)="Sunshine Coast","Sunshine Coast Council",TRIM(B35)="Moreton Bay","City of Moreton Bay",TRIM(B35)="Gold Coast","City of Gold Coast",TRIM(B35)="Ipswich","Ipswich City Council",TRUE,"")</f>
        <v>Ipswich City Council</v>
      </c>
      <c r="D35" s="6" t="str" cm="1">
        <f t="array" ref="D35">_xlfn.IFS(TRIM(B35)="Sunshine Coast", "Commercial Organic Waste Diversion &amp; Cold Chain Log Risk", TRIM(B35)="Moreton Bay", "Perishable Cold Storage &amp; Biological Contamination Risk", TRIM(B35)="Gold Coast", "High-Volume Food Supply Logistics &amp; Public Health Risk", TRIM(B35)="Ipswich", "Bulk Food Distribution Vermin Control &amp; Storage Risk", TRUE, "")</f>
        <v>Bulk Food Distribution Vermin Control &amp; Storage Risk</v>
      </c>
      <c r="E35" s="6" t="str" cm="1">
        <f t="array" ref="E35">_xlfn.IFS(TRIM(B35)="Sunshine Coast", "Inedible Waste Sorting Frequency &amp; Fridge Temperature Sensor Validation", TRIM(B35)="Moreton Bay", "Deep-Freeze Defrost Cycle Log &amp; Cross-Contamination Inspection Audit", TRIM(B35)="Gold Coast", "Fresh Produce Display Shelf-Life Verification &amp; Loading Dock Sanitation Log", TRIM(B35)="Ipswich", "Commercial Pest Bait Station Inspection Matrix &amp; Dry Goods Humidity Check", TRUE, "")</f>
        <v>Commercial Pest Bait Station Inspection Matrix &amp; Dry Goods Humidity Check</v>
      </c>
      <c r="F35" s="6" t="str" cm="1">
        <f t="array" ref="F35">_xlfn.IFS(TRIM(B35)="Sunshine Coast", "Maintain fridge parameters at a baseline average of 3°C and separate organic waste streams", TRIM(B35)="Moreton Bay", "Ensure commercial walk-in freezers register continuous deep-freeze below -18°C", TRIM(B35)="Gold Coast", "All incoming fresh stock must be logged through a visual inspection for structural packaging damage", TRIM(B35)="Ipswich", "Execute professional pest management sweeps monthly and keep raw pallets 150mm off the ground", TRUE, "")</f>
        <v>Execute professional pest management sweeps monthly and keep raw pallets 150mm off the ground</v>
      </c>
      <c r="G35" s="6" t="str" cm="1">
        <f t="array" ref="G35">_xlfn.IFS(TRIM(B35)="Sunshine Coast", "QLD Waste Reduction and Recycling Regulation / MS Loop Groceries Folder", TRIM(B35)="Moreton Bay", "Food Production Safety Act 2000 / Safe Food QLD Guidelines", TRIM(B35)="Gold Coast", "Australia New Zealand Food Standards Code (Standard 3.2.2)", TRIM(B35)="Ipswich", "Ipswich City Council Public Health Bylaws / Loop Master Register", TRUE, "")</f>
        <v>Ipswich City Council Public Health Bylaws / Loop Master Register</v>
      </c>
    </row>
    <row r="36" spans="1:7" ht="15.6" x14ac:dyDescent="0.3">
      <c r="A36" s="4" t="s">
        <v>24</v>
      </c>
      <c r="B36" s="6" t="s">
        <v>44</v>
      </c>
      <c r="C36" s="6" t="str" cm="1">
        <f t="array" ref="C36">_xlfn.IFS(TRIM(B36)="Sunshine Coast","Sunshine Coast Council",TRIM(B36)="Moreton Bay","City of Moreton Bay",TRIM(B36)="Gold Coast","City of Gold Coast",TRIM(B36)="Ipswich","Ipswich City Council",TRUE,"")</f>
        <v>City of Gold Coast</v>
      </c>
      <c r="D36" s="6" t="str" cm="1">
        <f t="array" ref="D36">_xlfn.IFS(TRIM(B36)="Sunshine Coast", "Commercial Organic Waste Diversion &amp; Cold Chain Log Risk", TRIM(B36)="Moreton Bay", "Perishable Cold Storage &amp; Biological Contamination Risk", TRIM(B36)="Gold Coast", "High-Volume Food Supply Logistics &amp; Public Health Risk", TRIM(B36)="Ipswich", "Bulk Food Distribution Vermin Control &amp; Storage Risk", TRUE, "")</f>
        <v>High-Volume Food Supply Logistics &amp; Public Health Risk</v>
      </c>
      <c r="E36" s="6" t="str" cm="1">
        <f t="array" ref="E36">_xlfn.IFS(TRIM(B36)="Sunshine Coast", "Inedible Waste Sorting Frequency &amp; Fridge Temperature Sensor Validation", TRIM(B36)="Moreton Bay", "Deep-Freeze Defrost Cycle Log &amp; Cross-Contamination Inspection Audit", TRIM(B36)="Gold Coast", "Fresh Produce Display Shelf-Life Verification &amp; Loading Dock Sanitation Log", TRIM(B36)="Ipswich", "Commercial Pest Bait Station Inspection Matrix &amp; Dry Goods Humidity Check", TRUE, "")</f>
        <v>Fresh Produce Display Shelf-Life Verification &amp; Loading Dock Sanitation Log</v>
      </c>
      <c r="F36" s="6" t="str" cm="1">
        <f t="array" ref="F36">_xlfn.IFS(TRIM(B36)="Sunshine Coast", "Maintain fridge parameters at a baseline average of 3°C and separate organic waste streams", TRIM(B36)="Moreton Bay", "Ensure commercial walk-in freezers register continuous deep-freeze below -18°C", TRIM(B36)="Gold Coast", "All incoming fresh stock must be logged through a visual inspection for structural packaging damage", TRIM(B36)="Ipswich", "Execute professional pest management sweeps monthly and keep raw pallets 150mm off the ground", TRUE, "")</f>
        <v>All incoming fresh stock must be logged through a visual inspection for structural packaging damage</v>
      </c>
      <c r="G36" s="6" t="str" cm="1">
        <f t="array" ref="G36">_xlfn.IFS(TRIM(B36)="Sunshine Coast", "QLD Waste Reduction and Recycling Regulation / MS Loop Groceries Folder", TRIM(B36)="Moreton Bay", "Food Production Safety Act 2000 / Safe Food QLD Guidelines", TRIM(B36)="Gold Coast", "Australia New Zealand Food Standards Code (Standard 3.2.2)", TRIM(B36)="Ipswich", "Ipswich City Council Public Health Bylaws / Loop Master Register", TRUE, "")</f>
        <v>Australia New Zealand Food Standards Code (Standard 3.2.2)</v>
      </c>
    </row>
    <row r="37" spans="1:7" ht="15.6" x14ac:dyDescent="0.3">
      <c r="A37" s="4" t="s">
        <v>40</v>
      </c>
      <c r="B37" s="6" t="s">
        <v>38</v>
      </c>
      <c r="C37" s="6" t="str" cm="1">
        <f t="array" ref="C37">_xlfn.IFS(TRIM(B37)="Sunshine Coast","Sunshine Coast Council",TRIM(B37)="Moreton Bay","City of Moreton Bay",TRIM(B37)="Gold Coast","City of Gold Coast",TRIM(B37)="Ipswich","Ipswich City Council",TRUE,"")</f>
        <v>Ipswich City Council</v>
      </c>
      <c r="D37" s="6" t="str" cm="1">
        <f t="array" ref="D37">_xlfn.IFS(TRIM(B37)="Sunshine Coast", "Commercial Organic Waste Diversion &amp; Cold Chain Log Risk", TRIM(B37)="Moreton Bay", "Perishable Cold Storage &amp; Biological Contamination Risk", TRIM(B37)="Gold Coast", "High-Volume Food Supply Logistics &amp; Public Health Risk", TRIM(B37)="Ipswich", "Bulk Food Distribution Vermin Control &amp; Storage Risk", TRUE, "")</f>
        <v>Bulk Food Distribution Vermin Control &amp; Storage Risk</v>
      </c>
      <c r="E37" s="6" t="str" cm="1">
        <f t="array" ref="E37">_xlfn.IFS(TRIM(B37)="Sunshine Coast", "Inedible Waste Sorting Frequency &amp; Fridge Temperature Sensor Validation", TRIM(B37)="Moreton Bay", "Deep-Freeze Defrost Cycle Log &amp; Cross-Contamination Inspection Audit", TRIM(B37)="Gold Coast", "Fresh Produce Display Shelf-Life Verification &amp; Loading Dock Sanitation Log", TRIM(B37)="Ipswich", "Commercial Pest Bait Station Inspection Matrix &amp; Dry Goods Humidity Check", TRUE, "")</f>
        <v>Commercial Pest Bait Station Inspection Matrix &amp; Dry Goods Humidity Check</v>
      </c>
      <c r="F37" s="6" t="str" cm="1">
        <f t="array" ref="F37">_xlfn.IFS(TRIM(B37)="Sunshine Coast", "Maintain fridge parameters at a baseline average of 3°C and separate organic waste streams", TRIM(B37)="Moreton Bay", "Ensure commercial walk-in freezers register continuous deep-freeze below -18°C", TRIM(B37)="Gold Coast", "All incoming fresh stock must be logged through a visual inspection for structural packaging damage", TRIM(B37)="Ipswich", "Execute professional pest management sweeps monthly and keep raw pallets 150mm off the ground", TRUE, "")</f>
        <v>Execute professional pest management sweeps monthly and keep raw pallets 150mm off the ground</v>
      </c>
      <c r="G37" s="6" t="str" cm="1">
        <f t="array" ref="G37">_xlfn.IFS(TRIM(B37)="Sunshine Coast", "QLD Waste Reduction and Recycling Regulation / MS Loop Groceries Folder", TRIM(B37)="Moreton Bay", "Food Production Safety Act 2000 / Safe Food QLD Guidelines", TRIM(B37)="Gold Coast", "Australia New Zealand Food Standards Code (Standard 3.2.2)", TRIM(B37)="Ipswich", "Ipswich City Council Public Health Bylaws / Loop Master Register", TRUE, "")</f>
        <v>Ipswich City Council Public Health Bylaws / Loop Master Register</v>
      </c>
    </row>
    <row r="38" spans="1:7" ht="15" x14ac:dyDescent="0.3">
      <c r="A38" s="3" t="s">
        <v>7</v>
      </c>
      <c r="B38" s="6" t="s">
        <v>43</v>
      </c>
      <c r="C38" s="6" t="str" cm="1">
        <f t="array" ref="C38">_xlfn.IFS(TRIM(B38)="Sunshine Coast","Sunshine Coast Council",TRIM(B38)="Moreton Bay","City of Moreton Bay",TRIM(B38)="Gold Coast","City of Gold Coast",TRIM(B38)="Ipswich","Ipswich City Council",TRUE,"")</f>
        <v>Sunshine Coast Council</v>
      </c>
      <c r="D38" s="6" t="str" cm="1">
        <f t="array" ref="D38">_xlfn.IFS(TRIM(B38)="Sunshine Coast", "Commercial Organic Waste Diversion &amp; Cold Chain Log Risk", TRIM(B38)="Moreton Bay", "Perishable Cold Storage &amp; Biological Contamination Risk", TRIM(B38)="Gold Coast", "High-Volume Food Supply Logistics &amp; Public Health Risk", TRIM(B38)="Ipswich", "Bulk Food Distribution Vermin Control &amp; Storage Risk", TRUE, "")</f>
        <v>Commercial Organic Waste Diversion &amp; Cold Chain Log Risk</v>
      </c>
      <c r="E38" s="6" t="str" cm="1">
        <f t="array" ref="E38">_xlfn.IFS(TRIM(B38)="Sunshine Coast", "Inedible Waste Sorting Frequency &amp; Fridge Temperature Sensor Validation", TRIM(B38)="Moreton Bay", "Deep-Freeze Defrost Cycle Log &amp; Cross-Contamination Inspection Audit", TRIM(B38)="Gold Coast", "Fresh Produce Display Shelf-Life Verification &amp; Loading Dock Sanitation Log", TRIM(B38)="Ipswich", "Commercial Pest Bait Station Inspection Matrix &amp; Dry Goods Humidity Check", TRUE, "")</f>
        <v>Inedible Waste Sorting Frequency &amp; Fridge Temperature Sensor Validation</v>
      </c>
      <c r="F38" s="6" t="str" cm="1">
        <f t="array" ref="F38">_xlfn.IFS(TRIM(B38)="Sunshine Coast", "Maintain fridge parameters at a baseline average of 3°C and separate organic waste streams", TRIM(B38)="Moreton Bay", "Ensure commercial walk-in freezers register continuous deep-freeze below -18°C", TRIM(B38)="Gold Coast", "All incoming fresh stock must be logged through a visual inspection for structural packaging damage", TRIM(B38)="Ipswich", "Execute professional pest management sweeps monthly and keep raw pallets 150mm off the ground", TRUE, "")</f>
        <v>Maintain fridge parameters at a baseline average of 3°C and separate organic waste streams</v>
      </c>
      <c r="G38" s="6" t="str" cm="1">
        <f t="array" ref="G38">_xlfn.IFS(TRIM(B38)="Sunshine Coast", "QLD Waste Reduction and Recycling Regulation / MS Loop Groceries Folder", TRIM(B38)="Moreton Bay", "Food Production Safety Act 2000 / Safe Food QLD Guidelines", TRIM(B38)="Gold Coast", "Australia New Zealand Food Standards Code (Standard 3.2.2)", TRIM(B38)="Ipswich", "Ipswich City Council Public Health Bylaws / Loop Master Register", TRUE, "")</f>
        <v>QLD Waste Reduction and Recycling Regulation / MS Loop Groceries Folder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CDAB-D37D-4A00-8946-4D6080895CC7}">
  <dimension ref="A1:I16"/>
  <sheetViews>
    <sheetView tabSelected="1" workbookViewId="0">
      <selection activeCell="S13" sqref="S13"/>
    </sheetView>
  </sheetViews>
  <sheetFormatPr defaultRowHeight="14.4" x14ac:dyDescent="0.3"/>
  <cols>
    <col min="1" max="1" width="38.109375" bestFit="1" customWidth="1"/>
    <col min="2" max="2" width="20.21875" bestFit="1" customWidth="1"/>
    <col min="3" max="3" width="9.5546875" bestFit="1" customWidth="1"/>
    <col min="4" max="4" width="13.33203125" bestFit="1" customWidth="1"/>
    <col min="5" max="5" width="12.44140625" bestFit="1" customWidth="1"/>
    <col min="6" max="6" width="11.5546875" bestFit="1" customWidth="1"/>
    <col min="7" max="7" width="13.33203125" bestFit="1" customWidth="1"/>
  </cols>
  <sheetData>
    <row r="1" spans="1:9" ht="36.6" x14ac:dyDescent="0.3">
      <c r="A1" s="9" t="str">
        <f xml:space="preserve"> "ENTERPRISE COMPLIANCE RISK DASHBOARD"</f>
        <v>ENTERPRISE COMPLIANCE RISK DASHBOARD</v>
      </c>
      <c r="B1" s="9"/>
      <c r="C1" s="9"/>
      <c r="D1" s="9"/>
      <c r="E1" s="9"/>
      <c r="F1" s="9"/>
      <c r="G1" s="9"/>
      <c r="H1" s="9"/>
      <c r="I1" s="9"/>
    </row>
    <row r="2" spans="1:9" ht="33.6" x14ac:dyDescent="0.3">
      <c r="A2" s="8" t="s">
        <v>63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10">
        <f ca="1">TODAY()</f>
        <v>46198</v>
      </c>
    </row>
    <row r="4" spans="1:9" x14ac:dyDescent="0.3">
      <c r="A4" s="11" t="s">
        <v>55</v>
      </c>
      <c r="B4" s="11" t="s">
        <v>56</v>
      </c>
    </row>
    <row r="5" spans="1:9" x14ac:dyDescent="0.3">
      <c r="A5" s="11" t="s">
        <v>57</v>
      </c>
      <c r="B5" s="11">
        <f>COUNTA(Plastic!A2:A50)</f>
        <v>37</v>
      </c>
    </row>
    <row r="6" spans="1:9" x14ac:dyDescent="0.3">
      <c r="A6" s="11" t="s">
        <v>58</v>
      </c>
      <c r="B6" s="11">
        <f>COUNTA(Food!A3:A51)</f>
        <v>36</v>
      </c>
    </row>
    <row r="7" spans="1:9" x14ac:dyDescent="0.3">
      <c r="A7" s="11" t="s">
        <v>59</v>
      </c>
      <c r="B7" s="11">
        <f>COUNTA(Furniture!A4:A52)</f>
        <v>35</v>
      </c>
    </row>
    <row r="8" spans="1:9" x14ac:dyDescent="0.3">
      <c r="A8" s="11" t="s">
        <v>60</v>
      </c>
      <c r="B8" s="11">
        <f>COUNTA(Wooden!A5:A53)</f>
        <v>34</v>
      </c>
    </row>
    <row r="9" spans="1:9" x14ac:dyDescent="0.3">
      <c r="A9" s="11" t="s">
        <v>61</v>
      </c>
      <c r="B9" s="11">
        <f>COUNTA(Clothes!A6:A54)</f>
        <v>33</v>
      </c>
    </row>
    <row r="10" spans="1:9" x14ac:dyDescent="0.3">
      <c r="A10" s="11" t="s">
        <v>62</v>
      </c>
      <c r="B10" s="11">
        <f>COUNTA(Groceries!A7:A55)</f>
        <v>32</v>
      </c>
    </row>
    <row r="11" spans="1:9" ht="33.6" x14ac:dyDescent="0.3">
      <c r="A11" s="8" t="s">
        <v>64</v>
      </c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12" t="s">
        <v>11</v>
      </c>
      <c r="B12" s="11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  <row r="13" spans="1:9" x14ac:dyDescent="0.3">
      <c r="A13" s="12" t="s">
        <v>71</v>
      </c>
      <c r="B13">
        <f>COUNTIF(Plastic!$C$3:$C$50, "Sunshine Coast Council")</f>
        <v>10</v>
      </c>
      <c r="C13">
        <f>COUNTIF(Food!$C$3:$C$50, "Sunshine Coast Council")</f>
        <v>10</v>
      </c>
      <c r="D13">
        <f>COUNTIF(Furniture!$C$3:$C$50, "Sunshine Coast Council")</f>
        <v>10</v>
      </c>
      <c r="E13">
        <f>COUNTIF(Wooden!$C$3:$C$50, "Sunshine Coast Council")</f>
        <v>10</v>
      </c>
      <c r="F13">
        <f>COUNTIF(Clothes!$C$3:$C$50, "Sunshine Coast Council")</f>
        <v>10</v>
      </c>
      <c r="G13">
        <f>COUNTIF(Groceries!$C$3:$C$50, "Sunshine Coast Council")</f>
        <v>10</v>
      </c>
    </row>
    <row r="14" spans="1:9" x14ac:dyDescent="0.3">
      <c r="A14" s="12" t="s">
        <v>72</v>
      </c>
      <c r="B14">
        <f>COUNTIF(Plastic!$C$3:$C$50, "City of Moreton Bay")</f>
        <v>12</v>
      </c>
      <c r="C14">
        <f>COUNTIF(Plastic!$C$3:$C$50, "City of Moreton Bay")</f>
        <v>12</v>
      </c>
      <c r="D14">
        <f>COUNTIF(Plastic!$C$3:$C$50, "City of Moreton Bay")</f>
        <v>12</v>
      </c>
      <c r="E14">
        <f>COUNTIF(Plastic!$C$3:$C$50, "City of Moreton Bay")</f>
        <v>12</v>
      </c>
      <c r="F14">
        <f>COUNTIF(Plastic!$C$3:$C$50, "City of Moreton Bay")</f>
        <v>12</v>
      </c>
      <c r="G14">
        <f>COUNTIF(Plastic!$C$3:$C$50, "City of Moreton Bay")</f>
        <v>12</v>
      </c>
    </row>
    <row r="15" spans="1:9" x14ac:dyDescent="0.3">
      <c r="A15" s="12" t="s">
        <v>73</v>
      </c>
      <c r="B15">
        <f>COUNTIF(Plastic!$C$3:$C$50, "City of Gold Coast")</f>
        <v>8</v>
      </c>
      <c r="C15">
        <f>COUNTIF(Plastic!$C$3:$C$50, "City of Gold Coast")</f>
        <v>8</v>
      </c>
      <c r="D15">
        <f>COUNTIF(Plastic!$C$3:$C$50, "City of Gold Coast")</f>
        <v>8</v>
      </c>
      <c r="E15">
        <f>COUNTIF(Plastic!$C$3:$C$50, "City of Gold Coast")</f>
        <v>8</v>
      </c>
      <c r="F15">
        <f>COUNTIF(Plastic!$C$3:$C$50, "City of Gold Coast")</f>
        <v>8</v>
      </c>
      <c r="G15">
        <f>COUNTIF(Plastic!$C$3:$C$50, "City of Gold Coast")</f>
        <v>8</v>
      </c>
    </row>
    <row r="16" spans="1:9" x14ac:dyDescent="0.3">
      <c r="A16" s="12" t="s">
        <v>74</v>
      </c>
      <c r="B16">
        <f>COUNTIF(Groceries!$C$3:$C$50, "Ipswich City Council")</f>
        <v>6</v>
      </c>
      <c r="C16">
        <f>COUNTIF(Groceries!$C$3:$C$50, "Ipswich City Council")</f>
        <v>6</v>
      </c>
      <c r="D16">
        <f>COUNTIF(Groceries!$C$3:$C$50, "Ipswich City Council")</f>
        <v>6</v>
      </c>
      <c r="E16">
        <f>COUNTIF(Groceries!$C$3:$C$50, "Ipswich City Council")</f>
        <v>6</v>
      </c>
      <c r="F16">
        <f>COUNTIF(Groceries!$C$3:$C$50, "Ipswich City Council")</f>
        <v>6</v>
      </c>
      <c r="G16">
        <f>COUNTIF(Groceries!$C$3:$C$50, "Ipswich City Council")</f>
        <v>6</v>
      </c>
    </row>
  </sheetData>
  <mergeCells count="3">
    <mergeCell ref="A1:I1"/>
    <mergeCell ref="A2:I2"/>
    <mergeCell ref="A11:I11"/>
  </mergeCells>
  <pageMargins left="0.7" right="0.7" top="0.75" bottom="0.75" header="0.3" footer="0.3"/>
  <pageSetup paperSize="9" orientation="portrait" r:id="rId1"/>
  <ignoredErrors>
    <ignoredError sqref="E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Plastic</vt:lpstr>
      <vt:lpstr>Food</vt:lpstr>
      <vt:lpstr>Furniture</vt:lpstr>
      <vt:lpstr>Wooden</vt:lpstr>
      <vt:lpstr>Clothes</vt:lpstr>
      <vt:lpstr>Groceries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2026-06-24T09:41:31Z</dcterms:created>
  <dcterms:modified xsi:type="dcterms:W3CDTF">2026-06-25T13:31:09Z</dcterms:modified>
</cp:coreProperties>
</file>